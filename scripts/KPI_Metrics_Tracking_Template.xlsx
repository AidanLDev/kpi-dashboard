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defaultThemeVersion="124226"/>
  <mc:AlternateContent xmlns:mc="http://schemas.openxmlformats.org/markup-compatibility/2006">
    <mc:Choice Requires="x15">
      <x15ac:absPath xmlns:x15ac="http://schemas.microsoft.com/office/spreadsheetml/2010/11/ac" url="C:\Users\aidanl\repos\kpi-dashboard\scripts\"/>
    </mc:Choice>
  </mc:AlternateContent>
  <xr:revisionPtr revIDLastSave="0" documentId="13_ncr:1_{1C720ED9-4EC1-4E6E-ACE4-5F9713E17B88}" xr6:coauthVersionLast="47" xr6:coauthVersionMax="47" xr10:uidLastSave="{00000000-0000-0000-0000-000000000000}"/>
  <bookViews>
    <workbookView xWindow="-120" yWindow="-120" windowWidth="29040" windowHeight="15720" firstSheet="1" activeTab="1" xr2:uid="{00000000-000D-0000-FFFF-FFFF00000000}"/>
  </bookViews>
  <sheets>
    <sheet name="KPI Metrics" sheetId="1" state="hidden" r:id="rId1"/>
    <sheet name="KPI Metrics (2)" sheetId="2" r:id="rId2"/>
    <sheet name="Sheet2" sheetId="3" r:id="rId3"/>
  </sheets>
  <definedNames>
    <definedName name="_xlchart.v1.0" hidden="1">'KPI Metrics (2)'!$B$22:$B$32</definedName>
    <definedName name="_xlchart.v1.1" hidden="1">'KPI Metrics (2)'!$DC$22:$DC$32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C23" i="2" l="1"/>
  <c r="DC24" i="2"/>
  <c r="DC25" i="2"/>
  <c r="DC26" i="2"/>
  <c r="DC27" i="2"/>
  <c r="DC28" i="2"/>
  <c r="DC29" i="2"/>
  <c r="DC30" i="2"/>
  <c r="DC31" i="2"/>
  <c r="DC32" i="2"/>
  <c r="DC22" i="2"/>
  <c r="E20" i="2"/>
  <c r="F20" i="2"/>
  <c r="G20" i="2"/>
  <c r="H20" i="2"/>
  <c r="I20" i="2"/>
  <c r="J20" i="2"/>
  <c r="K20" i="2"/>
  <c r="L20" i="2"/>
  <c r="M20" i="2"/>
  <c r="N20" i="2"/>
  <c r="O20" i="2"/>
  <c r="P20" i="2"/>
  <c r="Q20" i="2"/>
  <c r="R20" i="2"/>
  <c r="S20" i="2"/>
  <c r="T20" i="2"/>
  <c r="U20" i="2"/>
  <c r="V20" i="2"/>
  <c r="W20" i="2"/>
  <c r="X20" i="2"/>
  <c r="Y20" i="2"/>
  <c r="Z20" i="2"/>
  <c r="AA20" i="2"/>
  <c r="AB20" i="2"/>
  <c r="AC20" i="2"/>
  <c r="AD20" i="2"/>
  <c r="AE20" i="2"/>
  <c r="AF20" i="2"/>
  <c r="AG20" i="2"/>
  <c r="AH20" i="2"/>
  <c r="AI20" i="2"/>
  <c r="AJ20" i="2"/>
  <c r="AK20" i="2"/>
  <c r="AL20" i="2"/>
  <c r="AM20" i="2"/>
  <c r="AN20" i="2"/>
  <c r="AO20" i="2"/>
  <c r="AP20" i="2"/>
  <c r="AQ20" i="2"/>
  <c r="AR20" i="2"/>
  <c r="AS20" i="2"/>
  <c r="AT20" i="2"/>
  <c r="AU20" i="2"/>
  <c r="AV20" i="2"/>
  <c r="AW20" i="2"/>
  <c r="AX20" i="2"/>
  <c r="AY20" i="2"/>
  <c r="AZ20" i="2"/>
  <c r="BA20" i="2"/>
  <c r="BB20" i="2"/>
  <c r="BC20" i="2"/>
  <c r="BD20" i="2"/>
  <c r="BE20" i="2"/>
  <c r="BF20" i="2"/>
  <c r="BG20" i="2"/>
  <c r="BH20" i="2"/>
  <c r="BI20" i="2"/>
  <c r="BJ20" i="2"/>
  <c r="BK20" i="2"/>
  <c r="BL20" i="2"/>
  <c r="BM20" i="2"/>
  <c r="BN20" i="2"/>
  <c r="BO20" i="2"/>
  <c r="BP20" i="2"/>
  <c r="BQ20" i="2"/>
  <c r="BR20" i="2"/>
  <c r="BS20" i="2"/>
  <c r="BT20" i="2"/>
  <c r="BU20" i="2"/>
  <c r="BV20" i="2"/>
  <c r="BW20" i="2"/>
  <c r="BX20" i="2"/>
  <c r="BY20" i="2"/>
  <c r="BZ20" i="2"/>
  <c r="CA20" i="2"/>
  <c r="CB20" i="2"/>
  <c r="CC20" i="2"/>
  <c r="CD20" i="2"/>
  <c r="CE20" i="2"/>
  <c r="CF20" i="2"/>
  <c r="CG20" i="2"/>
  <c r="CH20" i="2"/>
  <c r="CI20" i="2"/>
  <c r="CJ20" i="2"/>
  <c r="CK20" i="2"/>
  <c r="CL20" i="2"/>
  <c r="CM20" i="2"/>
  <c r="CN20" i="2"/>
  <c r="CO20" i="2"/>
  <c r="CP20" i="2"/>
  <c r="CQ20" i="2"/>
  <c r="CR20" i="2"/>
  <c r="CS20" i="2"/>
  <c r="CT20" i="2"/>
  <c r="CU20" i="2"/>
  <c r="CV20" i="2"/>
  <c r="CW20" i="2"/>
  <c r="CX20" i="2"/>
  <c r="CY20" i="2"/>
  <c r="CZ20" i="2"/>
  <c r="DA20" i="2"/>
  <c r="DB20" i="2"/>
  <c r="D20" i="2"/>
  <c r="C20" i="2"/>
  <c r="BD36" i="2"/>
  <c r="BE36" i="2"/>
  <c r="BF36" i="2"/>
  <c r="BG36" i="2"/>
  <c r="BH36" i="2"/>
  <c r="BI36" i="2"/>
  <c r="BJ36" i="2"/>
  <c r="BK36" i="2"/>
  <c r="BL36" i="2"/>
  <c r="BM36" i="2"/>
  <c r="BN36" i="2"/>
  <c r="BO36" i="2"/>
  <c r="BP36" i="2"/>
  <c r="BQ36" i="2"/>
  <c r="BR36" i="2"/>
  <c r="BS36" i="2"/>
  <c r="BT36" i="2"/>
  <c r="BU36" i="2"/>
  <c r="BV36" i="2"/>
  <c r="BW36" i="2"/>
  <c r="BX36" i="2"/>
  <c r="BY36" i="2"/>
  <c r="BZ36" i="2"/>
  <c r="CA36" i="2"/>
  <c r="CB36" i="2"/>
  <c r="CC36" i="2"/>
  <c r="CD36" i="2"/>
  <c r="CE36" i="2"/>
  <c r="CF36" i="2"/>
  <c r="CG36" i="2"/>
  <c r="CH36" i="2"/>
  <c r="CI36" i="2"/>
  <c r="CJ36" i="2"/>
  <c r="CK36" i="2"/>
  <c r="CL36" i="2"/>
  <c r="CM36" i="2"/>
  <c r="CN36" i="2"/>
  <c r="CO36" i="2"/>
  <c r="CP36" i="2"/>
  <c r="CQ36" i="2"/>
  <c r="CR36" i="2"/>
  <c r="CS36" i="2"/>
  <c r="CT36" i="2"/>
  <c r="CU36" i="2"/>
  <c r="CV36" i="2"/>
  <c r="CW36" i="2"/>
  <c r="CX36" i="2"/>
  <c r="CY36" i="2"/>
  <c r="CZ36" i="2"/>
  <c r="DA36" i="2"/>
  <c r="DB36" i="2"/>
  <c r="CW34" i="2"/>
  <c r="CX34" i="2"/>
  <c r="CY34" i="2"/>
  <c r="CZ34" i="2"/>
  <c r="DA34" i="2"/>
  <c r="DB34" i="2"/>
  <c r="CU34" i="2"/>
  <c r="CV34" i="2"/>
  <c r="CP34" i="2"/>
  <c r="CQ34" i="2"/>
  <c r="CR34" i="2"/>
  <c r="CS34" i="2"/>
  <c r="CT34" i="2"/>
  <c r="BD34" i="2"/>
  <c r="BE34" i="2"/>
  <c r="BF34" i="2"/>
  <c r="BG34" i="2"/>
  <c r="BH34" i="2"/>
  <c r="BI34" i="2"/>
  <c r="BJ34" i="2"/>
  <c r="BK34" i="2"/>
  <c r="BL34" i="2"/>
  <c r="BM34" i="2"/>
  <c r="BN34" i="2"/>
  <c r="BO34" i="2"/>
  <c r="BP34" i="2"/>
  <c r="BQ34" i="2"/>
  <c r="BR34" i="2"/>
  <c r="BS34" i="2"/>
  <c r="BT34" i="2"/>
  <c r="BU34" i="2"/>
  <c r="BV34" i="2"/>
  <c r="BW34" i="2"/>
  <c r="BX34" i="2"/>
  <c r="BY34" i="2"/>
  <c r="BZ34" i="2"/>
  <c r="CA34" i="2"/>
  <c r="CB34" i="2"/>
  <c r="CC34" i="2"/>
  <c r="CD34" i="2"/>
  <c r="CE34" i="2"/>
  <c r="CF34" i="2"/>
  <c r="CG34" i="2"/>
  <c r="CH34" i="2"/>
  <c r="CI34" i="2"/>
  <c r="CJ34" i="2"/>
  <c r="CK34" i="2"/>
  <c r="CL34" i="2"/>
  <c r="CM34" i="2"/>
  <c r="CN34" i="2"/>
  <c r="CO34" i="2"/>
  <c r="BC36" i="2"/>
  <c r="BC34" i="2"/>
  <c r="BB36" i="2"/>
  <c r="BA36" i="2"/>
  <c r="AZ36" i="2"/>
  <c r="AY36" i="2"/>
  <c r="AB36" i="2"/>
  <c r="AC36" i="2"/>
  <c r="Z36" i="2"/>
  <c r="Y36" i="2"/>
  <c r="H34" i="2"/>
  <c r="I34" i="2"/>
  <c r="J34" i="2"/>
  <c r="K34" i="2"/>
  <c r="L34" i="2"/>
  <c r="M34" i="2"/>
  <c r="N34" i="2"/>
  <c r="O34" i="2"/>
  <c r="P34" i="2"/>
  <c r="Q34" i="2"/>
  <c r="R34" i="2"/>
  <c r="S34" i="2"/>
  <c r="T34" i="2"/>
  <c r="U34" i="2"/>
  <c r="V34" i="2"/>
  <c r="W34" i="2"/>
  <c r="X34" i="2"/>
  <c r="Y34" i="2"/>
  <c r="Z34" i="2"/>
  <c r="AA34" i="2"/>
  <c r="AB34" i="2"/>
  <c r="AC34" i="2"/>
  <c r="AD34" i="2"/>
  <c r="AE34" i="2"/>
  <c r="AF34" i="2"/>
  <c r="AG34" i="2"/>
  <c r="AH34" i="2"/>
  <c r="AI34" i="2"/>
  <c r="AJ34" i="2"/>
  <c r="AK34" i="2"/>
  <c r="AL34" i="2"/>
  <c r="AM34" i="2"/>
  <c r="AN34" i="2"/>
  <c r="AO34" i="2"/>
  <c r="AP34" i="2"/>
  <c r="AQ34" i="2"/>
  <c r="AR34" i="2"/>
  <c r="AS34" i="2"/>
  <c r="AT34" i="2"/>
  <c r="AU34" i="2"/>
  <c r="AV34" i="2"/>
  <c r="AW34" i="2"/>
  <c r="AX34" i="2"/>
  <c r="AY34" i="2"/>
  <c r="AZ34" i="2"/>
  <c r="BA34" i="2"/>
  <c r="BB34" i="2"/>
  <c r="G34" i="2"/>
  <c r="D34" i="2"/>
  <c r="E34" i="2"/>
  <c r="F34" i="2"/>
  <c r="C34" i="2"/>
  <c r="C36" i="2"/>
  <c r="D36" i="2"/>
  <c r="E36" i="2"/>
  <c r="F36" i="2"/>
  <c r="G36" i="2"/>
  <c r="H36" i="2"/>
  <c r="I36" i="2"/>
  <c r="J36" i="2"/>
  <c r="K36" i="2"/>
  <c r="L36" i="2"/>
  <c r="M36" i="2"/>
  <c r="N36" i="2"/>
  <c r="O36" i="2"/>
  <c r="P36" i="2"/>
  <c r="Q36" i="2"/>
  <c r="R36" i="2"/>
  <c r="S36" i="2"/>
  <c r="T36" i="2"/>
  <c r="U36" i="2"/>
  <c r="V36" i="2"/>
  <c r="W36" i="2"/>
  <c r="X36" i="2"/>
  <c r="AA36" i="2"/>
  <c r="AD36" i="2"/>
  <c r="AE36" i="2"/>
  <c r="AF36" i="2"/>
  <c r="AG36" i="2"/>
  <c r="AH36" i="2"/>
  <c r="AI36" i="2"/>
  <c r="AJ36" i="2"/>
  <c r="AK36" i="2"/>
  <c r="AL36" i="2"/>
  <c r="AM36" i="2"/>
  <c r="AN36" i="2"/>
  <c r="AO36" i="2"/>
  <c r="AP36" i="2"/>
  <c r="AQ36" i="2"/>
  <c r="AR36" i="2"/>
  <c r="AS36" i="2"/>
  <c r="AT36" i="2"/>
  <c r="AU36" i="2"/>
  <c r="AV36" i="2"/>
  <c r="AW36" i="2"/>
  <c r="AX36" i="2"/>
  <c r="E51" i="2"/>
  <c r="E36" i="1"/>
  <c r="D22" i="1"/>
  <c r="E22" i="1"/>
  <c r="F22" i="1"/>
  <c r="G22" i="1"/>
  <c r="H22" i="1"/>
  <c r="I22" i="1"/>
  <c r="J22" i="1"/>
  <c r="K22" i="1"/>
  <c r="L22" i="1"/>
  <c r="M22" i="1"/>
  <c r="N22" i="1"/>
  <c r="O22" i="1"/>
  <c r="P22" i="1"/>
  <c r="Q22" i="1"/>
  <c r="R22" i="1"/>
  <c r="S22" i="1"/>
  <c r="T22" i="1"/>
  <c r="U22" i="1"/>
  <c r="V22" i="1"/>
  <c r="W22" i="1"/>
  <c r="X22" i="1"/>
  <c r="Y22" i="1"/>
  <c r="Z22" i="1"/>
  <c r="AA22" i="1"/>
  <c r="AB22" i="1"/>
  <c r="AC22" i="1"/>
  <c r="AD22" i="1"/>
  <c r="AE22" i="1"/>
  <c r="AF22" i="1"/>
  <c r="AG22" i="1"/>
  <c r="AH22" i="1"/>
  <c r="AI22" i="1"/>
  <c r="AJ22" i="1"/>
  <c r="AK22" i="1"/>
  <c r="AL22" i="1"/>
  <c r="AM22" i="1"/>
  <c r="AN22" i="1"/>
  <c r="AO22" i="1"/>
  <c r="AP22" i="1"/>
  <c r="AQ22" i="1"/>
  <c r="AR22" i="1"/>
  <c r="AS22" i="1"/>
  <c r="AT22" i="1"/>
  <c r="AU22" i="1"/>
  <c r="AV22" i="1"/>
  <c r="AW22" i="1"/>
  <c r="AX22" i="1"/>
  <c r="AY22" i="1"/>
  <c r="AZ22" i="1"/>
  <c r="BA22" i="1"/>
  <c r="BB22" i="1"/>
  <c r="C22" i="1"/>
  <c r="DC34" i="2" l="1"/>
</calcChain>
</file>

<file path=xl/sharedStrings.xml><?xml version="1.0" encoding="utf-8"?>
<sst xmlns="http://schemas.openxmlformats.org/spreadsheetml/2006/main" count="351" uniqueCount="213">
  <si>
    <t>KPI Metrics</t>
  </si>
  <si>
    <t>23-12-2024 to 03-01-2025</t>
  </si>
  <si>
    <t>03-01-2025 to 10-01-2025</t>
  </si>
  <si>
    <t>10-01-2025 to 17-01-2025</t>
  </si>
  <si>
    <t>17-01-2025 to 24-01-2025</t>
  </si>
  <si>
    <t>03-02-2025 to 09-02-2025</t>
  </si>
  <si>
    <t>10-02-2025 to 16-02-2025</t>
  </si>
  <si>
    <t>17-02-2025 to 23-02-2025</t>
  </si>
  <si>
    <t>24-02-2025 to 02-03-2025</t>
  </si>
  <si>
    <t>03-03-2025 to 09-03-2025</t>
  </si>
  <si>
    <t>10-03-2025 to 16-03-2025</t>
  </si>
  <si>
    <t>17-03-2025 to 23-03-2025</t>
  </si>
  <si>
    <t>24-03-2025 to 30-03-2025</t>
  </si>
  <si>
    <t>31-03-2025 to 06-04-2025</t>
  </si>
  <si>
    <t>07-04-2025 to 13-04-2025</t>
  </si>
  <si>
    <t>14-04-2025 to 20-04-2025</t>
  </si>
  <si>
    <t>21-04-2025 to 27-04-2025</t>
  </si>
  <si>
    <t>28-04-2025 to 04-05-2025</t>
  </si>
  <si>
    <t>05-05-2025 to 11-05-2025</t>
  </si>
  <si>
    <t>12-05-2025 to 18-05-2025</t>
  </si>
  <si>
    <t>19-05-2025 to 25-05-2025</t>
  </si>
  <si>
    <t>26-05-2025 to 01-06-2025</t>
  </si>
  <si>
    <t>02-06-2025 to 08-06-2025</t>
  </si>
  <si>
    <t>09-06-2025 to 15-06-2025</t>
  </si>
  <si>
    <t>16-06-2025 to 22-06-2025</t>
  </si>
  <si>
    <t>23-06-2025 to 29-06-2025</t>
  </si>
  <si>
    <t>30-06-2025 to 06-07-2025</t>
  </si>
  <si>
    <t>07-07-2025 to 13-07-2025</t>
  </si>
  <si>
    <t>14-07-2025 to 20-07-2025</t>
  </si>
  <si>
    <t>21-07-2025 to 27-07-2025</t>
  </si>
  <si>
    <t>28-07-2025 to 03-08-2025</t>
  </si>
  <si>
    <t>04-08-2025 to 10-08-2025</t>
  </si>
  <si>
    <t>11-08-2025 to 17-08-2025</t>
  </si>
  <si>
    <t>18-08-2025 to 24-08-2025</t>
  </si>
  <si>
    <t>25-08-2025 to 31-08-2025</t>
  </si>
  <si>
    <t>01-09-2025 to 07-09-2025</t>
  </si>
  <si>
    <t>08-09-2025 to 14-09-2025</t>
  </si>
  <si>
    <t>15-09-2025 to 21-09-2025</t>
  </si>
  <si>
    <t>22-09-2025 to 28-09-2025</t>
  </si>
  <si>
    <t>29-09-2025 to 05-10-2025</t>
  </si>
  <si>
    <t>06-10-2025 to 12-10-2025</t>
  </si>
  <si>
    <t>13-10-2025 to 19-10-2025</t>
  </si>
  <si>
    <t>20-10-2025 to 26-10-2025</t>
  </si>
  <si>
    <t>27-10-2025 to 02-11-2025</t>
  </si>
  <si>
    <t>03-11-2025 to 09-11-2025</t>
  </si>
  <si>
    <t>10-11-2025 to 16-11-2025</t>
  </si>
  <si>
    <t>17-11-2025 to 23-11-2025</t>
  </si>
  <si>
    <t>24-11-2025 to 30-11-2025</t>
  </si>
  <si>
    <t>01-12-2025 to 07-12-2025</t>
  </si>
  <si>
    <t>08-12-2025 to 14-12-2025</t>
  </si>
  <si>
    <t>15-12-2025 to 21-12-2025</t>
  </si>
  <si>
    <t>22-12-2025 to 28-12-2025</t>
  </si>
  <si>
    <t>29-12-2025 to 04-01-2026</t>
  </si>
  <si>
    <t>Number of Sessions</t>
  </si>
  <si>
    <t>Track weekly visitor counts</t>
  </si>
  <si>
    <t>Session Duration (mins:secs)</t>
  </si>
  <si>
    <t xml:space="preserve">Average time users spend on the portal </t>
  </si>
  <si>
    <t>Unique Users</t>
  </si>
  <si>
    <t>Number of unique (NON PV) logins this week</t>
  </si>
  <si>
    <t>Page Views + average time</t>
  </si>
  <si>
    <t>The number of views and average engagement time per active user</t>
  </si>
  <si>
    <t>Home</t>
  </si>
  <si>
    <t>157 - 57s</t>
  </si>
  <si>
    <t>81 - 1m 49s</t>
  </si>
  <si>
    <t>Locations</t>
  </si>
  <si>
    <t>26 - 2m 26s</t>
  </si>
  <si>
    <t>64 - 9m 24s</t>
  </si>
  <si>
    <t>92 - 2m 09s</t>
  </si>
  <si>
    <t>58 - 1m 53s</t>
  </si>
  <si>
    <t>locations/(location)</t>
  </si>
  <si>
    <t>20 - 39s</t>
  </si>
  <si>
    <t>52 - 4m 04s</t>
  </si>
  <si>
    <t>64 - 6m 10s</t>
  </si>
  <si>
    <t>45 - 5m 16s</t>
  </si>
  <si>
    <t>OverVu</t>
  </si>
  <si>
    <t>20 - 44s</t>
  </si>
  <si>
    <t>4 - 21s</t>
  </si>
  <si>
    <t>12 - 3m 41s</t>
  </si>
  <si>
    <t>8 - 4m 58s</t>
  </si>
  <si>
    <t>Analytics</t>
  </si>
  <si>
    <t>14 - 1m 58s</t>
  </si>
  <si>
    <t>12 - 9m 56s</t>
  </si>
  <si>
    <t>7 - 1m 47s</t>
  </si>
  <si>
    <t>on_boarding(user)</t>
  </si>
  <si>
    <t>3 - 12s</t>
  </si>
  <si>
    <t>on_boarding(user/account)</t>
  </si>
  <si>
    <t>3 - 11s</t>
  </si>
  <si>
    <t>user_management</t>
  </si>
  <si>
    <t>3 - 24s</t>
  </si>
  <si>
    <t>3 - 4s</t>
  </si>
  <si>
    <t>5 - 4s</t>
  </si>
  <si>
    <t>Reports</t>
  </si>
  <si>
    <t>4 - 1m 09s</t>
  </si>
  <si>
    <t>14 - 32s</t>
  </si>
  <si>
    <t>12 - 3m 44s</t>
  </si>
  <si>
    <t>3 - 2m 20s</t>
  </si>
  <si>
    <t>Settings</t>
  </si>
  <si>
    <t>1 - 3s</t>
  </si>
  <si>
    <t>2 - 1m 11s</t>
  </si>
  <si>
    <t>5 - 2m 14s</t>
  </si>
  <si>
    <t>3 - 2m 08s</t>
  </si>
  <si>
    <t>Survey</t>
  </si>
  <si>
    <t>3 - 4m 32s</t>
  </si>
  <si>
    <t>5 - 3m 01s</t>
  </si>
  <si>
    <t>2 - 1m 29s</t>
  </si>
  <si>
    <t>Admin</t>
  </si>
  <si>
    <t>6 - 13s</t>
  </si>
  <si>
    <t>10 - 1m 07s</t>
  </si>
  <si>
    <t>10 - 1m 47s</t>
  </si>
  <si>
    <t>(Add rows as necessary)</t>
  </si>
  <si>
    <t>Crash Free Sessions (%)</t>
  </si>
  <si>
    <t>Uptime metrics, considering unmanageable downtimes</t>
  </si>
  <si>
    <t>Feature Usage</t>
  </si>
  <si>
    <t>Frequency of use for different features</t>
  </si>
  <si>
    <t>Page Loading Times</t>
  </si>
  <si>
    <t>Average time taken for pages to load (in seconds)</t>
  </si>
  <si>
    <t>on_boarding</t>
  </si>
  <si>
    <t>-</t>
  </si>
  <si>
    <t>User Engagement Rate (Bounce Rate)</t>
  </si>
  <si>
    <t>Click-through rates and interactions per visit (where users only visited one page)</t>
  </si>
  <si>
    <t>Error Rate (Sessions Crashed %)</t>
  </si>
  <si>
    <t>Frequency of errors encounted by users</t>
  </si>
  <si>
    <t>Desktop Usage (vs mobile)</t>
  </si>
  <si>
    <t>State Desktop Usage</t>
  </si>
  <si>
    <t>User Feedback</t>
  </si>
  <si>
    <t>Insights from user feedback forms and surveys</t>
  </si>
  <si>
    <t>2 :
1x OverVu, 1x Doc Upload</t>
  </si>
  <si>
    <t>Frontend Errors Events</t>
  </si>
  <si>
    <t>From Sentry</t>
  </si>
  <si>
    <t>7 Events from 3 issues</t>
  </si>
  <si>
    <t>6 Events from
2 Issues</t>
  </si>
  <si>
    <t>5 Events
from 2 issues</t>
  </si>
  <si>
    <t>Infrastructure Errors (Lambda Errors)</t>
  </si>
  <si>
    <t>Number of lamabda function errors</t>
  </si>
  <si>
    <t>24-01-2025 to 31-01-2025</t>
  </si>
  <si>
    <t>31-01-2025 to 07-02-2025</t>
  </si>
  <si>
    <t>07-02-2025 to 14-02-2025</t>
  </si>
  <si>
    <t>14-02-2025 to 21-02-2025</t>
  </si>
  <si>
    <t>21-02-2025 to 28-02-2025</t>
  </si>
  <si>
    <t>28-02-2025 to 07-03-2025</t>
  </si>
  <si>
    <t>07-03-2025 to 14-03-2025</t>
  </si>
  <si>
    <t>14-03-2025 to 21-03-2025</t>
  </si>
  <si>
    <t>21-03-2025 to 28-03-2025</t>
  </si>
  <si>
    <t>28-03-2025 to 04-04-2025</t>
  </si>
  <si>
    <t>04-04-2025 to 11-04-2025</t>
  </si>
  <si>
    <t>11-04-2025 to 18-04-2025</t>
  </si>
  <si>
    <t>18-04-2025 to 25-04-2025</t>
  </si>
  <si>
    <t>25-04-2025 to 02-05-2025</t>
  </si>
  <si>
    <t>02-05-2025 to 09-05-2025</t>
  </si>
  <si>
    <t>09-05-2025 to 16-05-2025</t>
  </si>
  <si>
    <t>16-05-2025 to 23-05-2025</t>
  </si>
  <si>
    <t>23-05-2025 to 30-05-2025</t>
  </si>
  <si>
    <t>30-05-2025 to 06-06-2025</t>
  </si>
  <si>
    <t>06-06-2025 to 13-06-2025</t>
  </si>
  <si>
    <t>13-06-2025 to 20-06-2025</t>
  </si>
  <si>
    <t>23-06-2025 to 27-06-2025</t>
  </si>
  <si>
    <t>27-06-2025 to 04-07-2025</t>
  </si>
  <si>
    <t>04-07-2025 to 11-07-2025</t>
  </si>
  <si>
    <t>11-07-2025 to 18-07-2025</t>
  </si>
  <si>
    <t>18-07-2025 to 25-07-2025</t>
  </si>
  <si>
    <t>25-07-2025 to 01-08-2025</t>
  </si>
  <si>
    <t>01-08-2025 to 08-08-2025</t>
  </si>
  <si>
    <t>08-08-2025 to 15-08-2025</t>
  </si>
  <si>
    <t>15-08-2025 to 22-08-2025</t>
  </si>
  <si>
    <t>22-08-2025 to 29-08-2025</t>
  </si>
  <si>
    <t>29-08-2025 to 05-09-2025</t>
  </si>
  <si>
    <t>05-09-2025 to 12-09-2025</t>
  </si>
  <si>
    <t>12-09-2025 to 19-09-2025</t>
  </si>
  <si>
    <t>19-09-2025 to 26-09-2025</t>
  </si>
  <si>
    <t>26-09-2025 to 03-10-2025</t>
  </si>
  <si>
    <t>03-10-2025 to 10-10-2025</t>
  </si>
  <si>
    <t>10-10-2025 to 17-10-2025</t>
  </si>
  <si>
    <t>17-10-2025 to 24-10-2025</t>
  </si>
  <si>
    <t>24-10-2025 to 31-10-2025</t>
  </si>
  <si>
    <t>10-31-2025 to 07-11-2025</t>
  </si>
  <si>
    <t>07-11-2025 to 14-11-2025</t>
  </si>
  <si>
    <t>14-11-2025 to 21-11-2025</t>
  </si>
  <si>
    <t>21-11-2025 to 28-11-2025</t>
  </si>
  <si>
    <t>28-11-2025 to 05-12-2025</t>
  </si>
  <si>
    <t>05-12-2025 to 12-12-2025</t>
  </si>
  <si>
    <t>12-12-2025 to 19-12-2025</t>
  </si>
  <si>
    <t>19-12-2025 to 26-12-2025</t>
  </si>
  <si>
    <t>26-12-2025 to 02-01-2026</t>
  </si>
  <si>
    <t>02-01-2026 to 09-01-2026</t>
  </si>
  <si>
    <t>09-01-2026 to 16-01-2026</t>
  </si>
  <si>
    <t>16-01-2026 to 23-01-2026</t>
  </si>
  <si>
    <t>23-01-2026 to 30-01-2026</t>
  </si>
  <si>
    <t>30-01-2026 to 06-02-2026</t>
  </si>
  <si>
    <t>06-02-2026 to 13-02-2026</t>
  </si>
  <si>
    <t>13-02-2026 to 20-02-2026</t>
  </si>
  <si>
    <t>20-02-2026 to 27-02-2026</t>
  </si>
  <si>
    <t>27-02-2026 to 06-03-2026</t>
  </si>
  <si>
    <t>06-03-2026 to 13-03-2026</t>
  </si>
  <si>
    <t>13-03-2026 to 20-03-2026</t>
  </si>
  <si>
    <t>20-03-2026 to 27-03-2026</t>
  </si>
  <si>
    <t>27-03-2026 to 03-04-2026</t>
  </si>
  <si>
    <t>03-04-2026 to 10-04-2026</t>
  </si>
  <si>
    <t>10-04-2026 to 17-04-2026</t>
  </si>
  <si>
    <t>17-04-2026 to 24-04-2026</t>
  </si>
  <si>
    <t>24-04-2026 to 01-05-2026</t>
  </si>
  <si>
    <t>01-05-2026 to 08-05-2026</t>
  </si>
  <si>
    <t>Average engagement time per active user</t>
  </si>
  <si>
    <t>Orders</t>
  </si>
  <si>
    <t>SUM</t>
  </si>
  <si>
    <t>Page Views</t>
  </si>
  <si>
    <t>The number of views</t>
  </si>
  <si>
    <t>NA</t>
  </si>
  <si>
    <t>Notifications</t>
  </si>
  <si>
    <t>2026-05-08 to 2026-05-15</t>
  </si>
  <si>
    <t>2026-05-15 to 2026-05-22</t>
  </si>
  <si>
    <t>Total Views</t>
  </si>
  <si>
    <t>Average time per user</t>
  </si>
  <si>
    <t>Average Session Duration (HH:MM:SS)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</si>
</sst>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theme="1"/>
      <name val="Calibri"/>
      <family val="2"/>
      <scheme val="minor"/>
    </font>
    <font>
      <i/>
      <sz val="11"/>
      <color theme="0" tint="-0.34998626667073579"/>
      <name val="Calibri"/>
      <family val="2"/>
      <scheme val="minor"/>
    </font>
    <font>
      <sz val="8"/>
      <name val="Calibri"/>
      <family val="2"/>
      <scheme val="minor"/>
    </font>
    <font>
      <sz val="11"/>
      <color theme="0" tint="-0.34998626667073579"/>
      <name val="Calibri"/>
      <family val="2"/>
      <scheme val="minor"/>
    </font>
    <font>
      <b/>
      <sz val="14"/>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27">
    <xf numFmtId="0" fontId="0" fillId="0" borderId="0" xfId="0"/>
    <xf numFmtId="9" fontId="0" fillId="0" borderId="0" xfId="0" applyNumberFormat="1"/>
    <xf numFmtId="0" fontId="0" fillId="0" borderId="0" xfId="0" applyAlignment="1">
      <alignment horizontal="right" vertical="center"/>
    </xf>
    <xf numFmtId="0" fontId="3" fillId="0" borderId="0" xfId="0" applyFont="1" applyAlignment="1">
      <alignment wrapText="1"/>
    </xf>
    <xf numFmtId="0" fontId="3" fillId="0" borderId="0" xfId="0" applyFont="1" applyAlignment="1">
      <alignment horizontal="center" vertical="center" wrapText="1"/>
    </xf>
    <xf numFmtId="0" fontId="5" fillId="0" borderId="0" xfId="0" applyFont="1" applyAlignment="1">
      <alignment horizontal="right" vertical="center"/>
    </xf>
    <xf numFmtId="0" fontId="1" fillId="0" borderId="0" xfId="0" applyFont="1" applyAlignment="1">
      <alignment horizontal="center" vertical="center"/>
    </xf>
    <xf numFmtId="0" fontId="2" fillId="2" borderId="0" xfId="0" applyFont="1" applyFill="1" applyAlignment="1">
      <alignment horizontal="center" vertical="center"/>
    </xf>
    <xf numFmtId="0" fontId="1" fillId="2" borderId="0" xfId="0" applyFont="1" applyFill="1" applyAlignment="1">
      <alignment horizontal="center" vertical="center"/>
    </xf>
    <xf numFmtId="0" fontId="5" fillId="0" borderId="0" xfId="0" applyFont="1" applyAlignment="1">
      <alignment horizontal="center" vertical="center" wrapText="1"/>
    </xf>
    <xf numFmtId="0" fontId="6" fillId="0" borderId="0" xfId="0" applyFont="1" applyAlignment="1">
      <alignment horizontal="center" vertical="center"/>
    </xf>
    <xf numFmtId="0" fontId="0" fillId="0" borderId="0" xfId="0" applyAlignment="1">
      <alignment horizontal="right" vertical="center" wrapText="1"/>
    </xf>
    <xf numFmtId="0" fontId="0" fillId="2" borderId="0" xfId="0" applyFill="1" applyAlignment="1">
      <alignment horizontal="center" vertical="center"/>
    </xf>
    <xf numFmtId="20" fontId="0" fillId="2" borderId="0" xfId="0" applyNumberFormat="1" applyFill="1" applyAlignment="1">
      <alignment horizontal="center" vertical="center"/>
    </xf>
    <xf numFmtId="45" fontId="0" fillId="2" borderId="0" xfId="0" applyNumberFormat="1" applyFill="1" applyAlignment="1">
      <alignment horizontal="center" vertical="center"/>
    </xf>
    <xf numFmtId="1" fontId="0" fillId="2" borderId="0" xfId="0" applyNumberFormat="1" applyFill="1" applyAlignment="1">
      <alignment horizontal="center" vertical="center" wrapText="1"/>
    </xf>
    <xf numFmtId="1" fontId="0" fillId="2" borderId="0" xfId="0" applyNumberFormat="1" applyFill="1" applyAlignment="1">
      <alignment horizontal="center" vertical="center"/>
    </xf>
    <xf numFmtId="9" fontId="2" fillId="2" borderId="0" xfId="1" applyFont="1" applyFill="1" applyAlignment="1">
      <alignment horizontal="center" vertical="center"/>
    </xf>
    <xf numFmtId="9" fontId="0" fillId="2" borderId="0" xfId="0" applyNumberFormat="1" applyFill="1" applyAlignment="1">
      <alignment horizontal="center" vertical="center"/>
    </xf>
    <xf numFmtId="10" fontId="0" fillId="2" borderId="0" xfId="0" applyNumberFormat="1" applyFill="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wrapText="1"/>
    </xf>
    <xf numFmtId="21" fontId="0" fillId="2" borderId="0" xfId="0" applyNumberFormat="1" applyFill="1" applyAlignment="1">
      <alignment horizontal="center" vertical="center"/>
    </xf>
    <xf numFmtId="46" fontId="0" fillId="2" borderId="0" xfId="0" applyNumberFormat="1" applyFill="1" applyAlignment="1">
      <alignment horizontal="center" vertical="center"/>
    </xf>
    <xf numFmtId="45" fontId="0" fillId="0" borderId="0" xfId="0" applyNumberFormat="1"/>
    <xf numFmtId="0" fontId="0" fillId="0" borderId="0" xfId="0" applyAlignment="1">
      <alignment horizontal="center" vertical="center" wrapText="1"/>
    </xf>
    <xf numFmtId="16" fontId="0" fillId="0" borderId="0" xfId="0" applyNumberFormat="1" applyAlignment="1">
      <alignment horizontal="center" vertical="center"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dirty="0">
                <a:solidFill>
                  <a:prstClr val="black">
                    <a:lumMod val="65000"/>
                    <a:lumOff val="35000"/>
                  </a:prstClr>
                </a:solidFill>
              </a:rPr>
              <a:t>Unique Users (NON PV) and Number of Sessions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'KPI Metrics (2)'!$A$6</c:f>
              <c:strCache>
                <c:ptCount val="1"/>
                <c:pt idx="0">
                  <c:v>Unique Users</c:v>
                </c:pt>
              </c:strCache>
            </c:strRef>
          </c:tx>
          <c:spPr>
            <a:solidFill>
              <a:schemeClr val="accent1"/>
            </a:solidFill>
            <a:ln>
              <a:noFill/>
            </a:ln>
            <a:effectLst/>
          </c:spPr>
          <c:invertIfNegative val="0"/>
          <c:cat>
            <c:strRef>
              <c:f>'KPI Metrics (2)'!$P$2:$BR$2</c:f>
              <c:strCache>
                <c:ptCount val="55"/>
                <c:pt idx="0">
                  <c:v>28-03-2025 to 04-04-2025</c:v>
                </c:pt>
                <c:pt idx="1">
                  <c:v>04-04-2025 to 11-04-2025</c:v>
                </c:pt>
                <c:pt idx="2">
                  <c:v>11-04-2025 to 18-04-2025</c:v>
                </c:pt>
                <c:pt idx="3">
                  <c:v>18-04-2025 to 25-04-2025</c:v>
                </c:pt>
                <c:pt idx="4">
                  <c:v>25-04-2025 to 02-05-2025</c:v>
                </c:pt>
                <c:pt idx="5">
                  <c:v>02-05-2025 to 09-05-2025</c:v>
                </c:pt>
                <c:pt idx="6">
                  <c:v>09-05-2025 to 16-05-2025</c:v>
                </c:pt>
                <c:pt idx="7">
                  <c:v>16-05-2025 to 23-05-2025</c:v>
                </c:pt>
                <c:pt idx="8">
                  <c:v>23-05-2025 to 30-05-2025</c:v>
                </c:pt>
                <c:pt idx="9">
                  <c:v>30-05-2025 to 06-06-2025</c:v>
                </c:pt>
                <c:pt idx="10">
                  <c:v>06-06-2025 to 13-06-2025</c:v>
                </c:pt>
                <c:pt idx="11">
                  <c:v>13-06-2025 to 20-06-2025</c:v>
                </c:pt>
                <c:pt idx="12">
                  <c:v>23-06-2025 to 27-06-2025</c:v>
                </c:pt>
                <c:pt idx="13">
                  <c:v>27-06-2025 to 04-07-2025</c:v>
                </c:pt>
                <c:pt idx="14">
                  <c:v>04-07-2025 to 11-07-2025</c:v>
                </c:pt>
                <c:pt idx="15">
                  <c:v>11-07-2025 to 18-07-2025</c:v>
                </c:pt>
                <c:pt idx="16">
                  <c:v>18-07-2025 to 25-07-2025</c:v>
                </c:pt>
                <c:pt idx="17">
                  <c:v>25-07-2025 to 01-08-2025</c:v>
                </c:pt>
                <c:pt idx="18">
                  <c:v>01-08-2025 to 08-08-2025</c:v>
                </c:pt>
                <c:pt idx="19">
                  <c:v>08-08-2025 to 15-08-2025</c:v>
                </c:pt>
                <c:pt idx="20">
                  <c:v>15-08-2025 to 22-08-2025</c:v>
                </c:pt>
                <c:pt idx="21">
                  <c:v>22-08-2025 to 29-08-2025</c:v>
                </c:pt>
                <c:pt idx="22">
                  <c:v>29-08-2025 to 05-09-2025</c:v>
                </c:pt>
                <c:pt idx="23">
                  <c:v>05-09-2025 to 12-09-2025</c:v>
                </c:pt>
                <c:pt idx="24">
                  <c:v>12-09-2025 to 19-09-2025</c:v>
                </c:pt>
                <c:pt idx="25">
                  <c:v>19-09-2025 to 26-09-2025</c:v>
                </c:pt>
                <c:pt idx="26">
                  <c:v>26-09-2025 to 03-10-2025</c:v>
                </c:pt>
                <c:pt idx="27">
                  <c:v>03-10-2025 to 10-10-2025</c:v>
                </c:pt>
                <c:pt idx="28">
                  <c:v>10-10-2025 to 17-10-2025</c:v>
                </c:pt>
                <c:pt idx="29">
                  <c:v>17-10-2025 to 24-10-2025</c:v>
                </c:pt>
                <c:pt idx="30">
                  <c:v>24-10-2025 to 31-10-2025</c:v>
                </c:pt>
                <c:pt idx="31">
                  <c:v>10-31-2025 to 07-11-2025</c:v>
                </c:pt>
                <c:pt idx="32">
                  <c:v>07-11-2025 to 14-11-2025</c:v>
                </c:pt>
                <c:pt idx="33">
                  <c:v>14-11-2025 to 21-11-2025</c:v>
                </c:pt>
                <c:pt idx="34">
                  <c:v>21-11-2025 to 28-11-2025</c:v>
                </c:pt>
                <c:pt idx="35">
                  <c:v>28-11-2025 to 05-12-2025</c:v>
                </c:pt>
                <c:pt idx="36">
                  <c:v>05-12-2025 to 12-12-2025</c:v>
                </c:pt>
                <c:pt idx="37">
                  <c:v>12-12-2025 to 19-12-2025</c:v>
                </c:pt>
                <c:pt idx="38">
                  <c:v>19-12-2025 to 26-12-2025</c:v>
                </c:pt>
                <c:pt idx="39">
                  <c:v>26-12-2025 to 02-01-2026</c:v>
                </c:pt>
                <c:pt idx="40">
                  <c:v>02-01-2026 to 09-01-2026</c:v>
                </c:pt>
                <c:pt idx="41">
                  <c:v>09-01-2026 to 16-01-2026</c:v>
                </c:pt>
                <c:pt idx="42">
                  <c:v>16-01-2026 to 23-01-2026</c:v>
                </c:pt>
                <c:pt idx="43">
                  <c:v>23-01-2026 to 30-01-2026</c:v>
                </c:pt>
                <c:pt idx="44">
                  <c:v>30-01-2026 to 06-02-2026</c:v>
                </c:pt>
                <c:pt idx="45">
                  <c:v>06-02-2026 to 13-02-2026</c:v>
                </c:pt>
                <c:pt idx="46">
                  <c:v>13-02-2026 to 20-02-2026</c:v>
                </c:pt>
                <c:pt idx="47">
                  <c:v>20-02-2026 to 27-02-2026</c:v>
                </c:pt>
                <c:pt idx="48">
                  <c:v>27-02-2026 to 06-03-2026</c:v>
                </c:pt>
                <c:pt idx="49">
                  <c:v>06-03-2026 to 13-03-2026</c:v>
                </c:pt>
                <c:pt idx="50">
                  <c:v>13-03-2026 to 20-03-2026</c:v>
                </c:pt>
                <c:pt idx="51">
                  <c:v>20-03-2026 to 27-03-2026</c:v>
                </c:pt>
                <c:pt idx="52">
                  <c:v>27-03-2026 to 03-04-2026</c:v>
                </c:pt>
                <c:pt idx="53">
                  <c:v>03-04-2026 to 10-04-2026</c:v>
                </c:pt>
                <c:pt idx="54">
                  <c:v>10-04-2026 to 17-04-2026</c:v>
                </c:pt>
              </c:strCache>
            </c:strRef>
          </c:cat>
          <c:val>
            <c:numRef>
              <c:f>'KPI Metrics (2)'!$P$6:$BR$6</c:f>
              <c:numCache>
                <c:formatCode>0</c:formatCode>
                <c:ptCount val="55"/>
                <c:pt idx="0">
                  <c:v>4</c:v>
                </c:pt>
                <c:pt idx="1">
                  <c:v>3</c:v>
                </c:pt>
                <c:pt idx="2">
                  <c:v>8</c:v>
                </c:pt>
                <c:pt idx="3">
                  <c:v>2</c:v>
                </c:pt>
                <c:pt idx="4">
                  <c:v>6</c:v>
                </c:pt>
                <c:pt idx="5">
                  <c:v>6</c:v>
                </c:pt>
                <c:pt idx="6">
                  <c:v>1</c:v>
                </c:pt>
                <c:pt idx="7">
                  <c:v>4</c:v>
                </c:pt>
                <c:pt idx="8">
                  <c:v>3</c:v>
                </c:pt>
                <c:pt idx="9">
                  <c:v>2</c:v>
                </c:pt>
                <c:pt idx="10">
                  <c:v>4</c:v>
                </c:pt>
                <c:pt idx="11">
                  <c:v>2</c:v>
                </c:pt>
                <c:pt idx="12">
                  <c:v>1</c:v>
                </c:pt>
                <c:pt idx="13">
                  <c:v>1</c:v>
                </c:pt>
                <c:pt idx="14">
                  <c:v>1</c:v>
                </c:pt>
                <c:pt idx="15">
                  <c:v>1</c:v>
                </c:pt>
                <c:pt idx="16">
                  <c:v>2</c:v>
                </c:pt>
                <c:pt idx="17">
                  <c:v>2</c:v>
                </c:pt>
                <c:pt idx="18">
                  <c:v>2</c:v>
                </c:pt>
                <c:pt idx="19">
                  <c:v>1</c:v>
                </c:pt>
                <c:pt idx="20">
                  <c:v>2</c:v>
                </c:pt>
                <c:pt idx="21">
                  <c:v>1</c:v>
                </c:pt>
                <c:pt idx="22">
                  <c:v>3</c:v>
                </c:pt>
                <c:pt idx="23">
                  <c:v>1</c:v>
                </c:pt>
                <c:pt idx="24">
                  <c:v>3</c:v>
                </c:pt>
                <c:pt idx="25">
                  <c:v>4</c:v>
                </c:pt>
                <c:pt idx="26">
                  <c:v>2</c:v>
                </c:pt>
                <c:pt idx="27">
                  <c:v>3</c:v>
                </c:pt>
                <c:pt idx="28">
                  <c:v>2</c:v>
                </c:pt>
                <c:pt idx="29">
                  <c:v>4</c:v>
                </c:pt>
                <c:pt idx="30">
                  <c:v>3</c:v>
                </c:pt>
                <c:pt idx="31">
                  <c:v>2</c:v>
                </c:pt>
                <c:pt idx="32">
                  <c:v>1</c:v>
                </c:pt>
                <c:pt idx="33">
                  <c:v>4</c:v>
                </c:pt>
                <c:pt idx="34">
                  <c:v>1</c:v>
                </c:pt>
                <c:pt idx="35">
                  <c:v>3</c:v>
                </c:pt>
                <c:pt idx="36">
                  <c:v>2</c:v>
                </c:pt>
                <c:pt idx="37">
                  <c:v>1</c:v>
                </c:pt>
                <c:pt idx="38">
                  <c:v>0</c:v>
                </c:pt>
                <c:pt idx="39" formatCode="General">
                  <c:v>0</c:v>
                </c:pt>
                <c:pt idx="40" formatCode="General">
                  <c:v>0</c:v>
                </c:pt>
                <c:pt idx="41" formatCode="General">
                  <c:v>2</c:v>
                </c:pt>
                <c:pt idx="42" formatCode="General">
                  <c:v>3</c:v>
                </c:pt>
                <c:pt idx="43" formatCode="General">
                  <c:v>2</c:v>
                </c:pt>
                <c:pt idx="44" formatCode="General">
                  <c:v>4</c:v>
                </c:pt>
                <c:pt idx="45" formatCode="General">
                  <c:v>7</c:v>
                </c:pt>
                <c:pt idx="46" formatCode="General">
                  <c:v>3</c:v>
                </c:pt>
                <c:pt idx="47" formatCode="General">
                  <c:v>4</c:v>
                </c:pt>
                <c:pt idx="48" formatCode="General">
                  <c:v>3</c:v>
                </c:pt>
                <c:pt idx="49" formatCode="General">
                  <c:v>4</c:v>
                </c:pt>
                <c:pt idx="50" formatCode="General">
                  <c:v>3</c:v>
                </c:pt>
                <c:pt idx="51" formatCode="General">
                  <c:v>4</c:v>
                </c:pt>
                <c:pt idx="52" formatCode="General">
                  <c:v>5</c:v>
                </c:pt>
                <c:pt idx="53" formatCode="General">
                  <c:v>6</c:v>
                </c:pt>
                <c:pt idx="54" formatCode="General">
                  <c:v>3</c:v>
                </c:pt>
              </c:numCache>
            </c:numRef>
          </c:val>
          <c:extLst>
            <c:ext xmlns:c16="http://schemas.microsoft.com/office/drawing/2014/chart" uri="{C3380CC4-5D6E-409C-BE32-E72D297353CC}">
              <c16:uniqueId val="{00000000-E7F5-4126-A0F8-CEA252991D58}"/>
            </c:ext>
          </c:extLst>
        </c:ser>
        <c:ser>
          <c:idx val="1"/>
          <c:order val="1"/>
          <c:tx>
            <c:strRef>
              <c:f>'KPI Metrics (2)'!$A$3</c:f>
              <c:strCache>
                <c:ptCount val="1"/>
                <c:pt idx="0">
                  <c:v>Number of Sessions</c:v>
                </c:pt>
              </c:strCache>
            </c:strRef>
          </c:tx>
          <c:spPr>
            <a:solidFill>
              <a:schemeClr val="accent2"/>
            </a:solidFill>
            <a:ln>
              <a:noFill/>
            </a:ln>
            <a:effectLst/>
          </c:spPr>
          <c:invertIfNegative val="0"/>
          <c:cat>
            <c:strRef>
              <c:f>'KPI Metrics (2)'!$P$2:$BR$2</c:f>
              <c:strCache>
                <c:ptCount val="55"/>
                <c:pt idx="0">
                  <c:v>28-03-2025 to 04-04-2025</c:v>
                </c:pt>
                <c:pt idx="1">
                  <c:v>04-04-2025 to 11-04-2025</c:v>
                </c:pt>
                <c:pt idx="2">
                  <c:v>11-04-2025 to 18-04-2025</c:v>
                </c:pt>
                <c:pt idx="3">
                  <c:v>18-04-2025 to 25-04-2025</c:v>
                </c:pt>
                <c:pt idx="4">
                  <c:v>25-04-2025 to 02-05-2025</c:v>
                </c:pt>
                <c:pt idx="5">
                  <c:v>02-05-2025 to 09-05-2025</c:v>
                </c:pt>
                <c:pt idx="6">
                  <c:v>09-05-2025 to 16-05-2025</c:v>
                </c:pt>
                <c:pt idx="7">
                  <c:v>16-05-2025 to 23-05-2025</c:v>
                </c:pt>
                <c:pt idx="8">
                  <c:v>23-05-2025 to 30-05-2025</c:v>
                </c:pt>
                <c:pt idx="9">
                  <c:v>30-05-2025 to 06-06-2025</c:v>
                </c:pt>
                <c:pt idx="10">
                  <c:v>06-06-2025 to 13-06-2025</c:v>
                </c:pt>
                <c:pt idx="11">
                  <c:v>13-06-2025 to 20-06-2025</c:v>
                </c:pt>
                <c:pt idx="12">
                  <c:v>23-06-2025 to 27-06-2025</c:v>
                </c:pt>
                <c:pt idx="13">
                  <c:v>27-06-2025 to 04-07-2025</c:v>
                </c:pt>
                <c:pt idx="14">
                  <c:v>04-07-2025 to 11-07-2025</c:v>
                </c:pt>
                <c:pt idx="15">
                  <c:v>11-07-2025 to 18-07-2025</c:v>
                </c:pt>
                <c:pt idx="16">
                  <c:v>18-07-2025 to 25-07-2025</c:v>
                </c:pt>
                <c:pt idx="17">
                  <c:v>25-07-2025 to 01-08-2025</c:v>
                </c:pt>
                <c:pt idx="18">
                  <c:v>01-08-2025 to 08-08-2025</c:v>
                </c:pt>
                <c:pt idx="19">
                  <c:v>08-08-2025 to 15-08-2025</c:v>
                </c:pt>
                <c:pt idx="20">
                  <c:v>15-08-2025 to 22-08-2025</c:v>
                </c:pt>
                <c:pt idx="21">
                  <c:v>22-08-2025 to 29-08-2025</c:v>
                </c:pt>
                <c:pt idx="22">
                  <c:v>29-08-2025 to 05-09-2025</c:v>
                </c:pt>
                <c:pt idx="23">
                  <c:v>05-09-2025 to 12-09-2025</c:v>
                </c:pt>
                <c:pt idx="24">
                  <c:v>12-09-2025 to 19-09-2025</c:v>
                </c:pt>
                <c:pt idx="25">
                  <c:v>19-09-2025 to 26-09-2025</c:v>
                </c:pt>
                <c:pt idx="26">
                  <c:v>26-09-2025 to 03-10-2025</c:v>
                </c:pt>
                <c:pt idx="27">
                  <c:v>03-10-2025 to 10-10-2025</c:v>
                </c:pt>
                <c:pt idx="28">
                  <c:v>10-10-2025 to 17-10-2025</c:v>
                </c:pt>
                <c:pt idx="29">
                  <c:v>17-10-2025 to 24-10-2025</c:v>
                </c:pt>
                <c:pt idx="30">
                  <c:v>24-10-2025 to 31-10-2025</c:v>
                </c:pt>
                <c:pt idx="31">
                  <c:v>10-31-2025 to 07-11-2025</c:v>
                </c:pt>
                <c:pt idx="32">
                  <c:v>07-11-2025 to 14-11-2025</c:v>
                </c:pt>
                <c:pt idx="33">
                  <c:v>14-11-2025 to 21-11-2025</c:v>
                </c:pt>
                <c:pt idx="34">
                  <c:v>21-11-2025 to 28-11-2025</c:v>
                </c:pt>
                <c:pt idx="35">
                  <c:v>28-11-2025 to 05-12-2025</c:v>
                </c:pt>
                <c:pt idx="36">
                  <c:v>05-12-2025 to 12-12-2025</c:v>
                </c:pt>
                <c:pt idx="37">
                  <c:v>12-12-2025 to 19-12-2025</c:v>
                </c:pt>
                <c:pt idx="38">
                  <c:v>19-12-2025 to 26-12-2025</c:v>
                </c:pt>
                <c:pt idx="39">
                  <c:v>26-12-2025 to 02-01-2026</c:v>
                </c:pt>
                <c:pt idx="40">
                  <c:v>02-01-2026 to 09-01-2026</c:v>
                </c:pt>
                <c:pt idx="41">
                  <c:v>09-01-2026 to 16-01-2026</c:v>
                </c:pt>
                <c:pt idx="42">
                  <c:v>16-01-2026 to 23-01-2026</c:v>
                </c:pt>
                <c:pt idx="43">
                  <c:v>23-01-2026 to 30-01-2026</c:v>
                </c:pt>
                <c:pt idx="44">
                  <c:v>30-01-2026 to 06-02-2026</c:v>
                </c:pt>
                <c:pt idx="45">
                  <c:v>06-02-2026 to 13-02-2026</c:v>
                </c:pt>
                <c:pt idx="46">
                  <c:v>13-02-2026 to 20-02-2026</c:v>
                </c:pt>
                <c:pt idx="47">
                  <c:v>20-02-2026 to 27-02-2026</c:v>
                </c:pt>
                <c:pt idx="48">
                  <c:v>27-02-2026 to 06-03-2026</c:v>
                </c:pt>
                <c:pt idx="49">
                  <c:v>06-03-2026 to 13-03-2026</c:v>
                </c:pt>
                <c:pt idx="50">
                  <c:v>13-03-2026 to 20-03-2026</c:v>
                </c:pt>
                <c:pt idx="51">
                  <c:v>20-03-2026 to 27-03-2026</c:v>
                </c:pt>
                <c:pt idx="52">
                  <c:v>27-03-2026 to 03-04-2026</c:v>
                </c:pt>
                <c:pt idx="53">
                  <c:v>03-04-2026 to 10-04-2026</c:v>
                </c:pt>
                <c:pt idx="54">
                  <c:v>10-04-2026 to 17-04-2026</c:v>
                </c:pt>
              </c:strCache>
            </c:strRef>
          </c:cat>
          <c:val>
            <c:numRef>
              <c:f>'KPI Metrics (2)'!$P$3:$BR$3</c:f>
              <c:numCache>
                <c:formatCode>General</c:formatCode>
                <c:ptCount val="55"/>
                <c:pt idx="0">
                  <c:v>45</c:v>
                </c:pt>
                <c:pt idx="1">
                  <c:v>40</c:v>
                </c:pt>
                <c:pt idx="2">
                  <c:v>38</c:v>
                </c:pt>
                <c:pt idx="3">
                  <c:v>26</c:v>
                </c:pt>
                <c:pt idx="4">
                  <c:v>62</c:v>
                </c:pt>
                <c:pt idx="5">
                  <c:v>28</c:v>
                </c:pt>
                <c:pt idx="6">
                  <c:v>22</c:v>
                </c:pt>
                <c:pt idx="7">
                  <c:v>33</c:v>
                </c:pt>
                <c:pt idx="8">
                  <c:v>15</c:v>
                </c:pt>
                <c:pt idx="9">
                  <c:v>15</c:v>
                </c:pt>
                <c:pt idx="10">
                  <c:v>30</c:v>
                </c:pt>
                <c:pt idx="11">
                  <c:v>23</c:v>
                </c:pt>
                <c:pt idx="12">
                  <c:v>35</c:v>
                </c:pt>
                <c:pt idx="13">
                  <c:v>17</c:v>
                </c:pt>
                <c:pt idx="14">
                  <c:v>15</c:v>
                </c:pt>
                <c:pt idx="15">
                  <c:v>27</c:v>
                </c:pt>
                <c:pt idx="16">
                  <c:v>16</c:v>
                </c:pt>
                <c:pt idx="17">
                  <c:v>20</c:v>
                </c:pt>
                <c:pt idx="18">
                  <c:v>24</c:v>
                </c:pt>
                <c:pt idx="19">
                  <c:v>49</c:v>
                </c:pt>
                <c:pt idx="20">
                  <c:v>31</c:v>
                </c:pt>
                <c:pt idx="21">
                  <c:v>26</c:v>
                </c:pt>
                <c:pt idx="22">
                  <c:v>21</c:v>
                </c:pt>
                <c:pt idx="23">
                  <c:v>34</c:v>
                </c:pt>
                <c:pt idx="24">
                  <c:v>42</c:v>
                </c:pt>
                <c:pt idx="25">
                  <c:v>71</c:v>
                </c:pt>
                <c:pt idx="26">
                  <c:v>39</c:v>
                </c:pt>
                <c:pt idx="27">
                  <c:v>25</c:v>
                </c:pt>
                <c:pt idx="28">
                  <c:v>33</c:v>
                </c:pt>
                <c:pt idx="29">
                  <c:v>17</c:v>
                </c:pt>
                <c:pt idx="30">
                  <c:v>17</c:v>
                </c:pt>
                <c:pt idx="31">
                  <c:v>21</c:v>
                </c:pt>
                <c:pt idx="32">
                  <c:v>15</c:v>
                </c:pt>
                <c:pt idx="33">
                  <c:v>19</c:v>
                </c:pt>
                <c:pt idx="34">
                  <c:v>2</c:v>
                </c:pt>
                <c:pt idx="35">
                  <c:v>28</c:v>
                </c:pt>
                <c:pt idx="36">
                  <c:v>20</c:v>
                </c:pt>
                <c:pt idx="37">
                  <c:v>6</c:v>
                </c:pt>
                <c:pt idx="38">
                  <c:v>4</c:v>
                </c:pt>
                <c:pt idx="39">
                  <c:v>5</c:v>
                </c:pt>
                <c:pt idx="40">
                  <c:v>11</c:v>
                </c:pt>
                <c:pt idx="41">
                  <c:v>29</c:v>
                </c:pt>
                <c:pt idx="42">
                  <c:v>37</c:v>
                </c:pt>
                <c:pt idx="43">
                  <c:v>25</c:v>
                </c:pt>
                <c:pt idx="44">
                  <c:v>28</c:v>
                </c:pt>
                <c:pt idx="45">
                  <c:v>26</c:v>
                </c:pt>
                <c:pt idx="46">
                  <c:v>23</c:v>
                </c:pt>
                <c:pt idx="47">
                  <c:v>33</c:v>
                </c:pt>
                <c:pt idx="48">
                  <c:v>27</c:v>
                </c:pt>
                <c:pt idx="49">
                  <c:v>21</c:v>
                </c:pt>
                <c:pt idx="50">
                  <c:v>25</c:v>
                </c:pt>
                <c:pt idx="51">
                  <c:v>30</c:v>
                </c:pt>
                <c:pt idx="52">
                  <c:v>28</c:v>
                </c:pt>
                <c:pt idx="53">
                  <c:v>24</c:v>
                </c:pt>
                <c:pt idx="54">
                  <c:v>26</c:v>
                </c:pt>
              </c:numCache>
            </c:numRef>
          </c:val>
          <c:extLst>
            <c:ext xmlns:c16="http://schemas.microsoft.com/office/drawing/2014/chart" uri="{C3380CC4-5D6E-409C-BE32-E72D297353CC}">
              <c16:uniqueId val="{00000001-E7F5-4126-A0F8-CEA252991D58}"/>
            </c:ext>
          </c:extLst>
        </c:ser>
        <c:dLbls>
          <c:showLegendKey val="0"/>
          <c:showVal val="0"/>
          <c:showCatName val="0"/>
          <c:showSerName val="0"/>
          <c:showPercent val="0"/>
          <c:showBubbleSize val="0"/>
        </c:dLbls>
        <c:gapWidth val="150"/>
        <c:axId val="1478957792"/>
        <c:axId val="1478959712"/>
      </c:barChart>
      <c:catAx>
        <c:axId val="147895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959712"/>
        <c:crosses val="autoZero"/>
        <c:auto val="1"/>
        <c:lblAlgn val="ctr"/>
        <c:lblOffset val="100"/>
        <c:noMultiLvlLbl val="0"/>
      </c:catAx>
      <c:valAx>
        <c:axId val="14789597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957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Page Views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Page Views </a:t>
          </a:r>
        </a:p>
      </cx:txPr>
    </cx:title>
    <cx:plotArea>
      <cx:plotAreaRegion>
        <cx:series layoutId="treemap" uniqueId="{83C10039-EEF2-48C4-9AE8-851C7FEEB4AA}">
          <cx:dataLabels pos="inEnd">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333375</xdr:colOff>
      <xdr:row>5</xdr:row>
      <xdr:rowOff>38100</xdr:rowOff>
    </xdr:from>
    <xdr:to>
      <xdr:col>12</xdr:col>
      <xdr:colOff>104775</xdr:colOff>
      <xdr:row>22</xdr:row>
      <xdr:rowOff>119063</xdr:rowOff>
    </xdr:to>
    <xdr:graphicFrame macro="">
      <xdr:nvGraphicFramePr>
        <xdr:cNvPr id="2" name="Chart 1">
          <a:extLst>
            <a:ext uri="{FF2B5EF4-FFF2-40B4-BE49-F238E27FC236}">
              <a16:creationId xmlns:a16="http://schemas.microsoft.com/office/drawing/2014/main" id="{5755A367-DB4F-4EDF-8DAC-C3F260080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224116</xdr:colOff>
      <xdr:row>23</xdr:row>
      <xdr:rowOff>179294</xdr:rowOff>
    </xdr:from>
    <xdr:to>
      <xdr:col>15</xdr:col>
      <xdr:colOff>369794</xdr:colOff>
      <xdr:row>58</xdr:row>
      <xdr:rowOff>33618</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5DF15AFD-889C-47DF-B9E7-B1B744F0FD4A}"/>
                </a:ext>
                <a:ext uri="{147F2762-F138-4A5C-976F-8EAC2B608ADB}">
                  <a16:predDERef xmlns:a16="http://schemas.microsoft.com/office/drawing/2014/main" pred="{5755A367-DB4F-4EDF-8DAC-C3F2600805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24116" y="4560794"/>
              <a:ext cx="9289678" cy="652182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BB48"/>
  <sheetViews>
    <sheetView workbookViewId="0">
      <pane xSplit="2" topLeftCell="C1" activePane="topRight" state="frozen"/>
      <selection pane="topRight" activeCell="H6" sqref="H6"/>
    </sheetView>
  </sheetViews>
  <sheetFormatPr defaultRowHeight="15" x14ac:dyDescent="0.25"/>
  <cols>
    <col min="1" max="1" width="31.85546875" bestFit="1" customWidth="1"/>
    <col min="2" max="2" width="30.5703125" customWidth="1"/>
    <col min="3" max="54" width="12.28515625" customWidth="1"/>
  </cols>
  <sheetData>
    <row r="1" spans="1:54" x14ac:dyDescent="0.25">
      <c r="C1" s="6">
        <v>1</v>
      </c>
      <c r="D1" s="6">
        <v>2</v>
      </c>
      <c r="E1" s="6">
        <v>3</v>
      </c>
      <c r="F1" s="6">
        <v>4</v>
      </c>
      <c r="G1" s="6">
        <v>5</v>
      </c>
      <c r="H1" s="6">
        <v>6</v>
      </c>
      <c r="I1" s="6">
        <v>7</v>
      </c>
      <c r="J1" s="6">
        <v>8</v>
      </c>
      <c r="K1" s="6">
        <v>9</v>
      </c>
      <c r="L1" s="6">
        <v>10</v>
      </c>
      <c r="M1" s="6">
        <v>11</v>
      </c>
      <c r="N1" s="6">
        <v>12</v>
      </c>
      <c r="O1" s="6">
        <v>13</v>
      </c>
      <c r="P1" s="6">
        <v>14</v>
      </c>
      <c r="Q1" s="6">
        <v>15</v>
      </c>
      <c r="R1" s="6">
        <v>16</v>
      </c>
      <c r="S1" s="6">
        <v>17</v>
      </c>
      <c r="T1" s="6">
        <v>18</v>
      </c>
      <c r="U1" s="6">
        <v>19</v>
      </c>
      <c r="V1" s="6">
        <v>20</v>
      </c>
      <c r="W1" s="6">
        <v>21</v>
      </c>
      <c r="X1" s="6">
        <v>22</v>
      </c>
      <c r="Y1" s="6">
        <v>23</v>
      </c>
      <c r="Z1" s="6">
        <v>24</v>
      </c>
      <c r="AA1" s="6">
        <v>25</v>
      </c>
      <c r="AB1" s="6">
        <v>26</v>
      </c>
      <c r="AC1" s="6">
        <v>27</v>
      </c>
      <c r="AD1" s="6">
        <v>28</v>
      </c>
      <c r="AE1" s="6">
        <v>29</v>
      </c>
      <c r="AF1" s="6">
        <v>30</v>
      </c>
      <c r="AG1" s="6">
        <v>31</v>
      </c>
      <c r="AH1" s="6">
        <v>32</v>
      </c>
      <c r="AI1" s="6">
        <v>33</v>
      </c>
      <c r="AJ1" s="6">
        <v>34</v>
      </c>
      <c r="AK1" s="6">
        <v>35</v>
      </c>
      <c r="AL1" s="6">
        <v>36</v>
      </c>
      <c r="AM1" s="6">
        <v>37</v>
      </c>
      <c r="AN1" s="6">
        <v>38</v>
      </c>
      <c r="AO1" s="6">
        <v>39</v>
      </c>
      <c r="AP1" s="6">
        <v>40</v>
      </c>
      <c r="AQ1" s="6">
        <v>41</v>
      </c>
      <c r="AR1" s="6">
        <v>42</v>
      </c>
      <c r="AS1" s="6">
        <v>43</v>
      </c>
      <c r="AT1" s="6">
        <v>44</v>
      </c>
      <c r="AU1" s="6">
        <v>45</v>
      </c>
      <c r="AV1" s="6">
        <v>46</v>
      </c>
      <c r="AW1" s="6">
        <v>47</v>
      </c>
      <c r="AX1" s="6">
        <v>48</v>
      </c>
      <c r="AY1" s="6">
        <v>49</v>
      </c>
      <c r="AZ1" s="6">
        <v>50</v>
      </c>
      <c r="BA1" s="6">
        <v>51</v>
      </c>
      <c r="BB1" s="6">
        <v>52</v>
      </c>
    </row>
    <row r="2" spans="1:54" ht="45" x14ac:dyDescent="0.25">
      <c r="A2" s="10" t="s">
        <v>0</v>
      </c>
      <c r="C2" s="9" t="s">
        <v>1</v>
      </c>
      <c r="D2" s="9" t="s">
        <v>2</v>
      </c>
      <c r="E2" s="9" t="s">
        <v>3</v>
      </c>
      <c r="F2" s="9" t="s">
        <v>4</v>
      </c>
      <c r="G2" s="9" t="s">
        <v>5</v>
      </c>
      <c r="H2" s="9" t="s">
        <v>6</v>
      </c>
      <c r="I2" s="9" t="s">
        <v>7</v>
      </c>
      <c r="J2" s="9" t="s">
        <v>8</v>
      </c>
      <c r="K2" s="9" t="s">
        <v>9</v>
      </c>
      <c r="L2" s="9" t="s">
        <v>10</v>
      </c>
      <c r="M2" s="9" t="s">
        <v>11</v>
      </c>
      <c r="N2" s="9" t="s">
        <v>12</v>
      </c>
      <c r="O2" s="9" t="s">
        <v>13</v>
      </c>
      <c r="P2" s="9" t="s">
        <v>14</v>
      </c>
      <c r="Q2" s="9" t="s">
        <v>15</v>
      </c>
      <c r="R2" s="9" t="s">
        <v>16</v>
      </c>
      <c r="S2" s="9" t="s">
        <v>17</v>
      </c>
      <c r="T2" s="9" t="s">
        <v>18</v>
      </c>
      <c r="U2" s="9" t="s">
        <v>19</v>
      </c>
      <c r="V2" s="9" t="s">
        <v>20</v>
      </c>
      <c r="W2" s="9" t="s">
        <v>21</v>
      </c>
      <c r="X2" s="9" t="s">
        <v>22</v>
      </c>
      <c r="Y2" s="9" t="s">
        <v>23</v>
      </c>
      <c r="Z2" s="9" t="s">
        <v>24</v>
      </c>
      <c r="AA2" s="9" t="s">
        <v>25</v>
      </c>
      <c r="AB2" s="9" t="s">
        <v>26</v>
      </c>
      <c r="AC2" s="9" t="s">
        <v>27</v>
      </c>
      <c r="AD2" s="9" t="s">
        <v>28</v>
      </c>
      <c r="AE2" s="9" t="s">
        <v>29</v>
      </c>
      <c r="AF2" s="9" t="s">
        <v>30</v>
      </c>
      <c r="AG2" s="9" t="s">
        <v>31</v>
      </c>
      <c r="AH2" s="9" t="s">
        <v>32</v>
      </c>
      <c r="AI2" s="9" t="s">
        <v>33</v>
      </c>
      <c r="AJ2" s="9" t="s">
        <v>34</v>
      </c>
      <c r="AK2" s="9" t="s">
        <v>35</v>
      </c>
      <c r="AL2" s="9" t="s">
        <v>36</v>
      </c>
      <c r="AM2" s="9" t="s">
        <v>37</v>
      </c>
      <c r="AN2" s="9" t="s">
        <v>38</v>
      </c>
      <c r="AO2" s="9" t="s">
        <v>39</v>
      </c>
      <c r="AP2" s="9" t="s">
        <v>40</v>
      </c>
      <c r="AQ2" s="9" t="s">
        <v>41</v>
      </c>
      <c r="AR2" s="9" t="s">
        <v>42</v>
      </c>
      <c r="AS2" s="9" t="s">
        <v>43</v>
      </c>
      <c r="AT2" s="9" t="s">
        <v>44</v>
      </c>
      <c r="AU2" s="9" t="s">
        <v>45</v>
      </c>
      <c r="AV2" s="9" t="s">
        <v>46</v>
      </c>
      <c r="AW2" s="9" t="s">
        <v>47</v>
      </c>
      <c r="AX2" s="9" t="s">
        <v>48</v>
      </c>
      <c r="AY2" s="9" t="s">
        <v>49</v>
      </c>
      <c r="AZ2" s="9" t="s">
        <v>50</v>
      </c>
      <c r="BA2" s="9" t="s">
        <v>51</v>
      </c>
      <c r="BB2" s="9" t="s">
        <v>52</v>
      </c>
    </row>
    <row r="3" spans="1:54" x14ac:dyDescent="0.25">
      <c r="A3" s="2" t="s">
        <v>53</v>
      </c>
      <c r="B3" s="3" t="s">
        <v>54</v>
      </c>
      <c r="C3" s="12">
        <v>5</v>
      </c>
      <c r="D3" s="12">
        <v>27</v>
      </c>
      <c r="E3" s="12">
        <v>26</v>
      </c>
      <c r="F3" s="12">
        <v>21</v>
      </c>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row>
    <row r="4" spans="1:54" ht="30" x14ac:dyDescent="0.25">
      <c r="A4" s="2" t="s">
        <v>55</v>
      </c>
      <c r="B4" s="3" t="s">
        <v>56</v>
      </c>
      <c r="C4" s="13">
        <v>0.18472222222222223</v>
      </c>
      <c r="D4" s="14">
        <v>1.9201388888888889E-2</v>
      </c>
      <c r="E4" s="14">
        <v>1.1643518518518518E-2</v>
      </c>
      <c r="F4" s="14">
        <v>1.1270833333333334</v>
      </c>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row>
    <row r="5" spans="1:54" ht="30" x14ac:dyDescent="0.25">
      <c r="A5" s="2" t="s">
        <v>57</v>
      </c>
      <c r="B5" s="3" t="s">
        <v>58</v>
      </c>
      <c r="C5" s="15">
        <v>2</v>
      </c>
      <c r="D5" s="15">
        <v>5</v>
      </c>
      <c r="E5" s="16">
        <v>15</v>
      </c>
      <c r="F5" s="16">
        <v>3</v>
      </c>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row>
    <row r="6" spans="1:54" ht="45" x14ac:dyDescent="0.25">
      <c r="A6" s="2" t="s">
        <v>59</v>
      </c>
      <c r="B6" s="4" t="s">
        <v>60</v>
      </c>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row>
    <row r="7" spans="1:54" x14ac:dyDescent="0.25">
      <c r="A7" s="2"/>
      <c r="B7" s="5" t="s">
        <v>61</v>
      </c>
      <c r="C7" s="12">
        <v>17</v>
      </c>
      <c r="D7" s="12" t="s">
        <v>62</v>
      </c>
      <c r="E7" s="12" t="s">
        <v>63</v>
      </c>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row>
    <row r="8" spans="1:54" x14ac:dyDescent="0.25">
      <c r="A8" s="2"/>
      <c r="B8" s="5" t="s">
        <v>64</v>
      </c>
      <c r="C8" s="12" t="s">
        <v>65</v>
      </c>
      <c r="D8" s="12" t="s">
        <v>66</v>
      </c>
      <c r="E8" s="12" t="s">
        <v>67</v>
      </c>
      <c r="F8" s="12" t="s">
        <v>68</v>
      </c>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row>
    <row r="9" spans="1:54" x14ac:dyDescent="0.25">
      <c r="A9" s="2"/>
      <c r="B9" s="5" t="s">
        <v>69</v>
      </c>
      <c r="C9" s="12" t="s">
        <v>70</v>
      </c>
      <c r="D9" s="12" t="s">
        <v>71</v>
      </c>
      <c r="E9" s="12" t="s">
        <v>72</v>
      </c>
      <c r="F9" s="12" t="s">
        <v>73</v>
      </c>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row>
    <row r="10" spans="1:54" x14ac:dyDescent="0.25">
      <c r="A10" s="2"/>
      <c r="B10" s="5" t="s">
        <v>74</v>
      </c>
      <c r="C10" s="12" t="s">
        <v>75</v>
      </c>
      <c r="D10" s="12" t="s">
        <v>76</v>
      </c>
      <c r="E10" s="12" t="s">
        <v>77</v>
      </c>
      <c r="F10" s="12" t="s">
        <v>78</v>
      </c>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row>
    <row r="11" spans="1:54" x14ac:dyDescent="0.25">
      <c r="A11" s="2"/>
      <c r="B11" s="5" t="s">
        <v>79</v>
      </c>
      <c r="C11" s="12">
        <v>14</v>
      </c>
      <c r="D11" s="12" t="s">
        <v>80</v>
      </c>
      <c r="E11" s="12" t="s">
        <v>81</v>
      </c>
      <c r="F11" s="12" t="s">
        <v>82</v>
      </c>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row>
    <row r="12" spans="1:54" x14ac:dyDescent="0.25">
      <c r="A12" s="2"/>
      <c r="B12" s="5" t="s">
        <v>83</v>
      </c>
      <c r="C12" s="12" t="s">
        <v>84</v>
      </c>
      <c r="D12" s="12">
        <v>2</v>
      </c>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row>
    <row r="13" spans="1:54" x14ac:dyDescent="0.25">
      <c r="A13" s="2"/>
      <c r="B13" s="5" t="s">
        <v>85</v>
      </c>
      <c r="C13" s="12" t="s">
        <v>86</v>
      </c>
      <c r="D13" s="12">
        <v>0</v>
      </c>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row>
    <row r="14" spans="1:54" x14ac:dyDescent="0.25">
      <c r="A14" s="2"/>
      <c r="B14" s="5" t="s">
        <v>87</v>
      </c>
      <c r="C14" s="12" t="s">
        <v>88</v>
      </c>
      <c r="D14" s="12">
        <v>0</v>
      </c>
      <c r="E14" s="12" t="s">
        <v>89</v>
      </c>
      <c r="F14" s="12" t="s">
        <v>90</v>
      </c>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row>
    <row r="15" spans="1:54" x14ac:dyDescent="0.25">
      <c r="A15" s="2"/>
      <c r="B15" s="5" t="s">
        <v>91</v>
      </c>
      <c r="C15" s="12" t="s">
        <v>92</v>
      </c>
      <c r="D15" s="12" t="s">
        <v>93</v>
      </c>
      <c r="E15" s="12" t="s">
        <v>94</v>
      </c>
      <c r="F15" s="12" t="s">
        <v>95</v>
      </c>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row>
    <row r="16" spans="1:54" x14ac:dyDescent="0.25">
      <c r="A16" s="2"/>
      <c r="B16" s="5" t="s">
        <v>96</v>
      </c>
      <c r="C16" s="12" t="s">
        <v>97</v>
      </c>
      <c r="D16" s="12" t="s">
        <v>98</v>
      </c>
      <c r="E16" s="12" t="s">
        <v>99</v>
      </c>
      <c r="F16" s="12" t="s">
        <v>100</v>
      </c>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row>
    <row r="17" spans="1:54" x14ac:dyDescent="0.25">
      <c r="A17" s="2"/>
      <c r="B17" s="5" t="s">
        <v>101</v>
      </c>
      <c r="C17" s="12" t="s">
        <v>102</v>
      </c>
      <c r="D17" s="12">
        <v>0</v>
      </c>
      <c r="E17" s="12" t="s">
        <v>103</v>
      </c>
      <c r="F17" s="12" t="s">
        <v>104</v>
      </c>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row>
    <row r="18" spans="1:54" x14ac:dyDescent="0.25">
      <c r="A18" s="2"/>
      <c r="B18" s="5" t="s">
        <v>105</v>
      </c>
      <c r="C18" s="12">
        <v>0</v>
      </c>
      <c r="D18" s="12" t="s">
        <v>106</v>
      </c>
      <c r="E18" s="12" t="s">
        <v>107</v>
      </c>
      <c r="F18" s="12" t="s">
        <v>108</v>
      </c>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row>
    <row r="19" spans="1:54" x14ac:dyDescent="0.25">
      <c r="A19" s="2"/>
      <c r="B19" s="4" t="s">
        <v>109</v>
      </c>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row>
    <row r="20" spans="1:54" ht="30" x14ac:dyDescent="0.25">
      <c r="A20" s="2" t="s">
        <v>110</v>
      </c>
      <c r="B20" s="3" t="s">
        <v>111</v>
      </c>
      <c r="C20" s="17">
        <v>0.99</v>
      </c>
      <c r="D20" s="18">
        <v>0.99</v>
      </c>
      <c r="E20" s="19">
        <v>0.9909</v>
      </c>
      <c r="F20" s="19">
        <v>0.9708</v>
      </c>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row>
    <row r="21" spans="1:54" ht="30" x14ac:dyDescent="0.25">
      <c r="A21" s="2" t="s">
        <v>112</v>
      </c>
      <c r="B21" s="3" t="s">
        <v>113</v>
      </c>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row>
    <row r="22" spans="1:54" ht="30" x14ac:dyDescent="0.25">
      <c r="A22" s="2" t="s">
        <v>114</v>
      </c>
      <c r="B22" s="3" t="s">
        <v>115</v>
      </c>
      <c r="C22" s="12">
        <f t="shared" ref="C22:AH22" si="0">AVERAGE(C23:C31)</f>
        <v>1.7950000000000002</v>
      </c>
      <c r="D22" s="12">
        <f t="shared" si="0"/>
        <v>1.4766666666666666</v>
      </c>
      <c r="E22" s="12">
        <f t="shared" si="0"/>
        <v>1.5231249999999998</v>
      </c>
      <c r="F22" s="12">
        <f t="shared" si="0"/>
        <v>1.4737499999999999</v>
      </c>
      <c r="G22" s="12" t="e">
        <f t="shared" si="0"/>
        <v>#DIV/0!</v>
      </c>
      <c r="H22" s="12" t="e">
        <f t="shared" si="0"/>
        <v>#DIV/0!</v>
      </c>
      <c r="I22" s="12" t="e">
        <f t="shared" si="0"/>
        <v>#DIV/0!</v>
      </c>
      <c r="J22" s="12" t="e">
        <f t="shared" si="0"/>
        <v>#DIV/0!</v>
      </c>
      <c r="K22" s="12" t="e">
        <f t="shared" si="0"/>
        <v>#DIV/0!</v>
      </c>
      <c r="L22" s="12" t="e">
        <f t="shared" si="0"/>
        <v>#DIV/0!</v>
      </c>
      <c r="M22" s="12" t="e">
        <f t="shared" si="0"/>
        <v>#DIV/0!</v>
      </c>
      <c r="N22" s="12" t="e">
        <f t="shared" si="0"/>
        <v>#DIV/0!</v>
      </c>
      <c r="O22" s="12" t="e">
        <f t="shared" si="0"/>
        <v>#DIV/0!</v>
      </c>
      <c r="P22" s="12" t="e">
        <f t="shared" si="0"/>
        <v>#DIV/0!</v>
      </c>
      <c r="Q22" s="12" t="e">
        <f t="shared" si="0"/>
        <v>#DIV/0!</v>
      </c>
      <c r="R22" s="12" t="e">
        <f t="shared" si="0"/>
        <v>#DIV/0!</v>
      </c>
      <c r="S22" s="12" t="e">
        <f t="shared" si="0"/>
        <v>#DIV/0!</v>
      </c>
      <c r="T22" s="12" t="e">
        <f t="shared" si="0"/>
        <v>#DIV/0!</v>
      </c>
      <c r="U22" s="12" t="e">
        <f t="shared" si="0"/>
        <v>#DIV/0!</v>
      </c>
      <c r="V22" s="12" t="e">
        <f t="shared" si="0"/>
        <v>#DIV/0!</v>
      </c>
      <c r="W22" s="12" t="e">
        <f t="shared" si="0"/>
        <v>#DIV/0!</v>
      </c>
      <c r="X22" s="12" t="e">
        <f t="shared" si="0"/>
        <v>#DIV/0!</v>
      </c>
      <c r="Y22" s="12" t="e">
        <f t="shared" si="0"/>
        <v>#DIV/0!</v>
      </c>
      <c r="Z22" s="12" t="e">
        <f t="shared" si="0"/>
        <v>#DIV/0!</v>
      </c>
      <c r="AA22" s="12" t="e">
        <f t="shared" si="0"/>
        <v>#DIV/0!</v>
      </c>
      <c r="AB22" s="12" t="e">
        <f t="shared" si="0"/>
        <v>#DIV/0!</v>
      </c>
      <c r="AC22" s="12" t="e">
        <f t="shared" si="0"/>
        <v>#DIV/0!</v>
      </c>
      <c r="AD22" s="12" t="e">
        <f t="shared" si="0"/>
        <v>#DIV/0!</v>
      </c>
      <c r="AE22" s="12" t="e">
        <f t="shared" si="0"/>
        <v>#DIV/0!</v>
      </c>
      <c r="AF22" s="12" t="e">
        <f t="shared" si="0"/>
        <v>#DIV/0!</v>
      </c>
      <c r="AG22" s="12" t="e">
        <f t="shared" si="0"/>
        <v>#DIV/0!</v>
      </c>
      <c r="AH22" s="12" t="e">
        <f t="shared" si="0"/>
        <v>#DIV/0!</v>
      </c>
      <c r="AI22" s="12" t="e">
        <f t="shared" ref="AI22:BB22" si="1">AVERAGE(AI23:AI31)</f>
        <v>#DIV/0!</v>
      </c>
      <c r="AJ22" s="12" t="e">
        <f t="shared" si="1"/>
        <v>#DIV/0!</v>
      </c>
      <c r="AK22" s="12" t="e">
        <f t="shared" si="1"/>
        <v>#DIV/0!</v>
      </c>
      <c r="AL22" s="12" t="e">
        <f t="shared" si="1"/>
        <v>#DIV/0!</v>
      </c>
      <c r="AM22" s="12" t="e">
        <f t="shared" si="1"/>
        <v>#DIV/0!</v>
      </c>
      <c r="AN22" s="12" t="e">
        <f t="shared" si="1"/>
        <v>#DIV/0!</v>
      </c>
      <c r="AO22" s="12" t="e">
        <f t="shared" si="1"/>
        <v>#DIV/0!</v>
      </c>
      <c r="AP22" s="12" t="e">
        <f t="shared" si="1"/>
        <v>#DIV/0!</v>
      </c>
      <c r="AQ22" s="12" t="e">
        <f t="shared" si="1"/>
        <v>#DIV/0!</v>
      </c>
      <c r="AR22" s="12" t="e">
        <f t="shared" si="1"/>
        <v>#DIV/0!</v>
      </c>
      <c r="AS22" s="12" t="e">
        <f t="shared" si="1"/>
        <v>#DIV/0!</v>
      </c>
      <c r="AT22" s="12" t="e">
        <f t="shared" si="1"/>
        <v>#DIV/0!</v>
      </c>
      <c r="AU22" s="12" t="e">
        <f t="shared" si="1"/>
        <v>#DIV/0!</v>
      </c>
      <c r="AV22" s="12" t="e">
        <f t="shared" si="1"/>
        <v>#DIV/0!</v>
      </c>
      <c r="AW22" s="12" t="e">
        <f t="shared" si="1"/>
        <v>#DIV/0!</v>
      </c>
      <c r="AX22" s="12" t="e">
        <f t="shared" si="1"/>
        <v>#DIV/0!</v>
      </c>
      <c r="AY22" s="12" t="e">
        <f t="shared" si="1"/>
        <v>#DIV/0!</v>
      </c>
      <c r="AZ22" s="12" t="e">
        <f t="shared" si="1"/>
        <v>#DIV/0!</v>
      </c>
      <c r="BA22" s="12" t="e">
        <f t="shared" si="1"/>
        <v>#DIV/0!</v>
      </c>
      <c r="BB22" s="12" t="e">
        <f t="shared" si="1"/>
        <v>#DIV/0!</v>
      </c>
    </row>
    <row r="23" spans="1:54" x14ac:dyDescent="0.25">
      <c r="A23" s="2"/>
      <c r="B23" s="5" t="s">
        <v>61</v>
      </c>
      <c r="C23" s="20">
        <v>2.12</v>
      </c>
      <c r="D23" s="20">
        <v>2.56</v>
      </c>
      <c r="E23" s="20">
        <v>2.79</v>
      </c>
      <c r="F23" s="20">
        <v>2.02</v>
      </c>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row>
    <row r="24" spans="1:54" x14ac:dyDescent="0.25">
      <c r="A24" s="2"/>
      <c r="B24" s="5" t="s">
        <v>64</v>
      </c>
      <c r="C24" s="20">
        <v>1.74</v>
      </c>
      <c r="D24" s="20">
        <v>1.36</v>
      </c>
      <c r="E24" s="20">
        <v>1.68</v>
      </c>
      <c r="F24" s="20">
        <v>1.71</v>
      </c>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row>
    <row r="25" spans="1:54" x14ac:dyDescent="0.25">
      <c r="A25" s="2"/>
      <c r="B25" s="5" t="s">
        <v>69</v>
      </c>
      <c r="C25" s="20">
        <v>2.0699999999999998</v>
      </c>
      <c r="D25" s="20">
        <v>2.1800000000000002</v>
      </c>
      <c r="E25" s="20">
        <v>2.19</v>
      </c>
      <c r="F25" s="20">
        <v>2.06</v>
      </c>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row>
    <row r="26" spans="1:54" x14ac:dyDescent="0.25">
      <c r="A26" s="2"/>
      <c r="B26" s="5" t="s">
        <v>74</v>
      </c>
      <c r="C26" s="20">
        <v>1</v>
      </c>
      <c r="D26" s="20">
        <v>1.28</v>
      </c>
      <c r="E26" s="20">
        <v>1.69</v>
      </c>
      <c r="F26" s="20">
        <v>1.5</v>
      </c>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row>
    <row r="27" spans="1:54" x14ac:dyDescent="0.25">
      <c r="A27" s="2"/>
      <c r="B27" s="5" t="s">
        <v>79</v>
      </c>
      <c r="C27" s="20">
        <v>1.62</v>
      </c>
      <c r="D27" s="20">
        <v>1</v>
      </c>
      <c r="E27" s="20">
        <v>1.25</v>
      </c>
      <c r="F27" s="20">
        <v>1.27</v>
      </c>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row>
    <row r="28" spans="1:54" x14ac:dyDescent="0.25">
      <c r="A28" s="2"/>
      <c r="B28" s="5" t="s">
        <v>116</v>
      </c>
      <c r="C28" s="20">
        <v>3.24</v>
      </c>
      <c r="D28" s="20">
        <v>2.74</v>
      </c>
      <c r="E28" s="20" t="s">
        <v>117</v>
      </c>
      <c r="F28" s="20" t="s">
        <v>117</v>
      </c>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row>
    <row r="29" spans="1:54" x14ac:dyDescent="0.25">
      <c r="A29" s="2"/>
      <c r="B29" s="5" t="s">
        <v>87</v>
      </c>
      <c r="C29" s="20">
        <v>1.94</v>
      </c>
      <c r="D29" s="20">
        <v>0.84</v>
      </c>
      <c r="E29" s="20">
        <v>1</v>
      </c>
      <c r="F29" s="20">
        <v>1</v>
      </c>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row>
    <row r="30" spans="1:54" x14ac:dyDescent="0.25">
      <c r="A30" s="2"/>
      <c r="B30" s="5" t="s">
        <v>91</v>
      </c>
      <c r="C30" s="20">
        <v>0.63</v>
      </c>
      <c r="D30" s="20">
        <v>1.23</v>
      </c>
      <c r="E30" s="20">
        <v>1.44</v>
      </c>
      <c r="F30" s="20">
        <v>1.28</v>
      </c>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row>
    <row r="31" spans="1:54" x14ac:dyDescent="0.25">
      <c r="A31" s="2"/>
      <c r="B31" s="5" t="s">
        <v>96</v>
      </c>
      <c r="C31" s="20"/>
      <c r="D31" s="20">
        <v>0.1</v>
      </c>
      <c r="E31" s="20">
        <v>0.14499999999999999</v>
      </c>
      <c r="F31" s="20">
        <v>0.95</v>
      </c>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row>
    <row r="32" spans="1:54" x14ac:dyDescent="0.25">
      <c r="A32" s="2"/>
      <c r="B32" s="5" t="s">
        <v>101</v>
      </c>
      <c r="C32" s="20"/>
      <c r="D32" s="20">
        <v>1.05</v>
      </c>
      <c r="E32" s="20">
        <v>1.36</v>
      </c>
      <c r="F32" s="20" t="s">
        <v>117</v>
      </c>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row>
    <row r="33" spans="1:54" x14ac:dyDescent="0.25">
      <c r="A33" s="2"/>
      <c r="B33" s="5" t="s">
        <v>105</v>
      </c>
      <c r="C33" s="20"/>
      <c r="D33" s="20">
        <v>1</v>
      </c>
      <c r="E33" s="20">
        <v>1.27</v>
      </c>
      <c r="F33" s="20">
        <v>1.17</v>
      </c>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row>
    <row r="34" spans="1:54" x14ac:dyDescent="0.25">
      <c r="A34" s="2"/>
      <c r="B34" s="4" t="s">
        <v>109</v>
      </c>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row>
    <row r="35" spans="1:54" ht="45" x14ac:dyDescent="0.25">
      <c r="A35" s="11" t="s">
        <v>118</v>
      </c>
      <c r="B35" s="3" t="s">
        <v>119</v>
      </c>
      <c r="C35" s="17">
        <v>0.6</v>
      </c>
      <c r="D35" s="18">
        <v>0.48</v>
      </c>
      <c r="E35" s="19">
        <v>0.308</v>
      </c>
      <c r="F35" s="19">
        <v>0.28599999999999998</v>
      </c>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row>
    <row r="36" spans="1:54" ht="26.25" customHeight="1" x14ac:dyDescent="0.25">
      <c r="A36" s="2" t="s">
        <v>120</v>
      </c>
      <c r="B36" s="3" t="s">
        <v>121</v>
      </c>
      <c r="C36" s="17">
        <v>0.01</v>
      </c>
      <c r="D36" s="18">
        <v>0.01</v>
      </c>
      <c r="E36" s="12">
        <f>SUM(100%, -E20)</f>
        <v>9.099999999999997E-3</v>
      </c>
      <c r="F36" s="19">
        <v>2.92E-2</v>
      </c>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row>
    <row r="37" spans="1:54" ht="18" customHeight="1" x14ac:dyDescent="0.25">
      <c r="A37" s="2" t="s">
        <v>122</v>
      </c>
      <c r="B37" s="3" t="s">
        <v>123</v>
      </c>
      <c r="C37" s="17">
        <v>1</v>
      </c>
      <c r="D37" s="18">
        <v>1</v>
      </c>
      <c r="E37" s="18">
        <v>1</v>
      </c>
      <c r="F37" s="18">
        <v>1</v>
      </c>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row>
    <row r="38" spans="1:54" ht="60" x14ac:dyDescent="0.25">
      <c r="A38" s="2" t="s">
        <v>124</v>
      </c>
      <c r="B38" s="3" t="s">
        <v>125</v>
      </c>
      <c r="C38" s="12">
        <v>0</v>
      </c>
      <c r="D38" s="21" t="s">
        <v>126</v>
      </c>
      <c r="E38" s="12">
        <v>0</v>
      </c>
      <c r="F38" s="12">
        <v>0</v>
      </c>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row>
    <row r="39" spans="1:54" ht="45" x14ac:dyDescent="0.25">
      <c r="A39" s="2" t="s">
        <v>127</v>
      </c>
      <c r="B39" s="3" t="s">
        <v>128</v>
      </c>
      <c r="C39" s="12"/>
      <c r="D39" s="21" t="s">
        <v>129</v>
      </c>
      <c r="E39" s="21" t="s">
        <v>130</v>
      </c>
      <c r="F39" s="21" t="s">
        <v>131</v>
      </c>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row>
    <row r="40" spans="1:54" ht="30" x14ac:dyDescent="0.25">
      <c r="A40" s="11" t="s">
        <v>132</v>
      </c>
      <c r="B40" s="3" t="s">
        <v>133</v>
      </c>
      <c r="C40" s="12">
        <v>366</v>
      </c>
      <c r="D40" s="12">
        <v>1</v>
      </c>
      <c r="E40" s="12">
        <v>0</v>
      </c>
      <c r="F40" s="12">
        <v>0</v>
      </c>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row>
    <row r="41" spans="1:54" x14ac:dyDescent="0.25">
      <c r="A41" s="11"/>
      <c r="B41" s="3"/>
      <c r="C41" s="8"/>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row>
    <row r="48" spans="1:54" x14ac:dyDescent="0.25">
      <c r="B48" s="1"/>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12C59-276D-4FB2-9238-A07A69ED7DAE}">
  <dimension ref="A1:DG59"/>
  <sheetViews>
    <sheetView tabSelected="1" topLeftCell="B42" zoomScaleNormal="100" workbookViewId="0">
      <pane xSplit="1" topLeftCell="C1" activePane="topRight" state="frozen"/>
      <selection activeCell="B1" sqref="B1"/>
      <selection pane="topRight" activeCell="M54" sqref="M54"/>
    </sheetView>
  </sheetViews>
  <sheetFormatPr defaultRowHeight="15" x14ac:dyDescent="0.25"/>
  <cols>
    <col min="1" max="1" width="31.85546875" bestFit="1" customWidth="1"/>
    <col min="2" max="2" width="30.5703125" customWidth="1"/>
    <col min="3" max="5" width="12.28515625" customWidth="1"/>
    <col min="6" max="6" width="15.85546875" bestFit="1" customWidth="1"/>
    <col min="7" max="54" width="12.28515625" customWidth="1"/>
    <col min="55" max="106" width="11.28515625" customWidth="1"/>
  </cols>
  <sheetData>
    <row r="1" spans="1:111" x14ac:dyDescent="0.25">
      <c r="C1" s="6">
        <v>1</v>
      </c>
      <c r="D1" s="6">
        <v>2</v>
      </c>
      <c r="E1" s="6">
        <v>3</v>
      </c>
      <c r="F1" s="6">
        <v>4</v>
      </c>
      <c r="G1" s="6">
        <v>5</v>
      </c>
      <c r="H1" s="6">
        <v>6</v>
      </c>
      <c r="I1" s="6">
        <v>7</v>
      </c>
      <c r="J1" s="6">
        <v>8</v>
      </c>
      <c r="K1" s="6">
        <v>9</v>
      </c>
      <c r="L1" s="6">
        <v>10</v>
      </c>
      <c r="M1" s="6">
        <v>11</v>
      </c>
      <c r="N1" s="6">
        <v>12</v>
      </c>
      <c r="O1" s="6">
        <v>13</v>
      </c>
      <c r="P1" s="6">
        <v>14</v>
      </c>
      <c r="Q1" s="6">
        <v>15</v>
      </c>
      <c r="R1" s="6">
        <v>16</v>
      </c>
      <c r="S1" s="6">
        <v>17</v>
      </c>
      <c r="T1" s="6">
        <v>18</v>
      </c>
      <c r="U1" s="6">
        <v>19</v>
      </c>
      <c r="V1" s="6">
        <v>20</v>
      </c>
      <c r="W1" s="6">
        <v>21</v>
      </c>
      <c r="X1" s="6">
        <v>22</v>
      </c>
      <c r="Y1" s="6">
        <v>23</v>
      </c>
      <c r="Z1" s="6">
        <v>24</v>
      </c>
      <c r="AA1" s="6">
        <v>25</v>
      </c>
      <c r="AB1" s="6">
        <v>26</v>
      </c>
      <c r="AC1" s="6">
        <v>27</v>
      </c>
      <c r="AD1" s="6">
        <v>28</v>
      </c>
      <c r="AE1" s="6">
        <v>29</v>
      </c>
      <c r="AF1" s="6">
        <v>30</v>
      </c>
      <c r="AG1" s="6">
        <v>31</v>
      </c>
      <c r="AH1" s="6">
        <v>32</v>
      </c>
      <c r="AI1" s="6">
        <v>33</v>
      </c>
      <c r="AJ1" s="6">
        <v>34</v>
      </c>
      <c r="AK1" s="6">
        <v>35</v>
      </c>
      <c r="AL1" s="6">
        <v>36</v>
      </c>
      <c r="AM1" s="6">
        <v>37</v>
      </c>
      <c r="AN1" s="6">
        <v>38</v>
      </c>
      <c r="AO1" s="6">
        <v>39</v>
      </c>
      <c r="AP1" s="6">
        <v>40</v>
      </c>
      <c r="AQ1" s="6">
        <v>41</v>
      </c>
      <c r="AR1" s="6">
        <v>42</v>
      </c>
      <c r="AS1" s="6">
        <v>43</v>
      </c>
      <c r="AT1" s="6">
        <v>44</v>
      </c>
      <c r="AU1" s="6">
        <v>45</v>
      </c>
      <c r="AV1" s="6">
        <v>46</v>
      </c>
      <c r="AW1" s="6">
        <v>47</v>
      </c>
      <c r="AX1" s="6">
        <v>48</v>
      </c>
      <c r="AY1" s="6">
        <v>49</v>
      </c>
      <c r="AZ1" s="6">
        <v>50</v>
      </c>
      <c r="BA1" s="6">
        <v>51</v>
      </c>
      <c r="BB1" s="6">
        <v>52</v>
      </c>
      <c r="BC1" s="6">
        <v>1</v>
      </c>
      <c r="BD1" s="6">
        <v>2</v>
      </c>
      <c r="BE1" s="6">
        <v>3</v>
      </c>
      <c r="BF1" s="6">
        <v>4</v>
      </c>
      <c r="BG1" s="6">
        <v>5</v>
      </c>
      <c r="BH1" s="6">
        <v>6</v>
      </c>
      <c r="BI1" s="6">
        <v>7</v>
      </c>
      <c r="BJ1" s="6">
        <v>8</v>
      </c>
      <c r="BK1" s="6">
        <v>9</v>
      </c>
      <c r="BL1" s="6">
        <v>10</v>
      </c>
      <c r="BM1" s="6">
        <v>11</v>
      </c>
      <c r="BN1" s="6">
        <v>12</v>
      </c>
      <c r="BO1" s="6">
        <v>13</v>
      </c>
      <c r="BP1" s="6">
        <v>14</v>
      </c>
      <c r="BQ1" s="6">
        <v>15</v>
      </c>
      <c r="BR1" s="6">
        <v>16</v>
      </c>
      <c r="BS1" s="6">
        <v>17</v>
      </c>
      <c r="BT1" s="6">
        <v>18</v>
      </c>
      <c r="BU1" s="6">
        <v>19</v>
      </c>
      <c r="BV1" s="6">
        <v>20</v>
      </c>
      <c r="BW1" s="6">
        <v>21</v>
      </c>
      <c r="BX1" s="6">
        <v>22</v>
      </c>
      <c r="BY1" s="6">
        <v>23</v>
      </c>
      <c r="BZ1" s="6">
        <v>24</v>
      </c>
      <c r="CA1" s="6">
        <v>25</v>
      </c>
      <c r="CB1" s="6">
        <v>26</v>
      </c>
      <c r="CC1" s="6">
        <v>27</v>
      </c>
      <c r="CD1" s="6">
        <v>28</v>
      </c>
      <c r="CE1" s="6">
        <v>29</v>
      </c>
      <c r="CF1" s="6">
        <v>30</v>
      </c>
      <c r="CG1" s="6">
        <v>31</v>
      </c>
      <c r="CH1" s="6">
        <v>32</v>
      </c>
      <c r="CI1" s="6">
        <v>33</v>
      </c>
      <c r="CJ1" s="6">
        <v>34</v>
      </c>
      <c r="CK1" s="6">
        <v>35</v>
      </c>
      <c r="CL1" s="6">
        <v>36</v>
      </c>
      <c r="CM1" s="6">
        <v>37</v>
      </c>
      <c r="CN1" s="6">
        <v>38</v>
      </c>
      <c r="CO1" s="6">
        <v>39</v>
      </c>
      <c r="CP1" s="6">
        <v>40</v>
      </c>
      <c r="CQ1" s="6">
        <v>41</v>
      </c>
      <c r="CR1" s="6">
        <v>42</v>
      </c>
      <c r="CS1" s="6">
        <v>43</v>
      </c>
      <c r="CT1" s="6">
        <v>44</v>
      </c>
      <c r="CU1" s="6">
        <v>45</v>
      </c>
      <c r="CV1" s="6">
        <v>46</v>
      </c>
      <c r="CW1" s="6">
        <v>47</v>
      </c>
      <c r="CX1" s="6">
        <v>48</v>
      </c>
      <c r="CY1" s="6">
        <v>49</v>
      </c>
      <c r="CZ1" s="6">
        <v>50</v>
      </c>
      <c r="DA1" s="6">
        <v>51</v>
      </c>
      <c r="DB1" s="6">
        <v>52</v>
      </c>
      <c r="DC1" s="6"/>
      <c r="DD1" s="6"/>
      <c r="DE1" s="6"/>
      <c r="DF1" s="6"/>
      <c r="DG1" s="6"/>
    </row>
    <row r="2" spans="1:111" s="25" customFormat="1" ht="45" x14ac:dyDescent="0.25">
      <c r="A2" s="10" t="s">
        <v>0</v>
      </c>
      <c r="B2"/>
      <c r="C2" s="9" t="s">
        <v>1</v>
      </c>
      <c r="D2" s="9" t="s">
        <v>2</v>
      </c>
      <c r="E2" s="9" t="s">
        <v>3</v>
      </c>
      <c r="F2" s="9" t="s">
        <v>4</v>
      </c>
      <c r="G2" s="9" t="s">
        <v>134</v>
      </c>
      <c r="H2" s="9" t="s">
        <v>135</v>
      </c>
      <c r="I2" s="9" t="s">
        <v>136</v>
      </c>
      <c r="J2" s="9" t="s">
        <v>137</v>
      </c>
      <c r="K2" s="9" t="s">
        <v>138</v>
      </c>
      <c r="L2" s="9" t="s">
        <v>139</v>
      </c>
      <c r="M2" s="9" t="s">
        <v>140</v>
      </c>
      <c r="N2" s="9" t="s">
        <v>141</v>
      </c>
      <c r="O2" s="9" t="s">
        <v>142</v>
      </c>
      <c r="P2" s="9" t="s">
        <v>143</v>
      </c>
      <c r="Q2" s="9" t="s">
        <v>144</v>
      </c>
      <c r="R2" s="9" t="s">
        <v>145</v>
      </c>
      <c r="S2" s="9" t="s">
        <v>146</v>
      </c>
      <c r="T2" s="9" t="s">
        <v>147</v>
      </c>
      <c r="U2" s="9" t="s">
        <v>148</v>
      </c>
      <c r="V2" s="9" t="s">
        <v>149</v>
      </c>
      <c r="W2" s="9" t="s">
        <v>150</v>
      </c>
      <c r="X2" s="9" t="s">
        <v>151</v>
      </c>
      <c r="Y2" s="9" t="s">
        <v>152</v>
      </c>
      <c r="Z2" s="9" t="s">
        <v>153</v>
      </c>
      <c r="AA2" s="9" t="s">
        <v>154</v>
      </c>
      <c r="AB2" s="9" t="s">
        <v>155</v>
      </c>
      <c r="AC2" s="9" t="s">
        <v>156</v>
      </c>
      <c r="AD2" s="9" t="s">
        <v>157</v>
      </c>
      <c r="AE2" s="9" t="s">
        <v>158</v>
      </c>
      <c r="AF2" s="9" t="s">
        <v>159</v>
      </c>
      <c r="AG2" s="9" t="s">
        <v>160</v>
      </c>
      <c r="AH2" s="9" t="s">
        <v>161</v>
      </c>
      <c r="AI2" s="9" t="s">
        <v>162</v>
      </c>
      <c r="AJ2" s="9" t="s">
        <v>163</v>
      </c>
      <c r="AK2" s="9" t="s">
        <v>164</v>
      </c>
      <c r="AL2" s="9" t="s">
        <v>165</v>
      </c>
      <c r="AM2" s="9" t="s">
        <v>166</v>
      </c>
      <c r="AN2" s="9" t="s">
        <v>167</v>
      </c>
      <c r="AO2" s="9" t="s">
        <v>168</v>
      </c>
      <c r="AP2" s="9" t="s">
        <v>169</v>
      </c>
      <c r="AQ2" s="9" t="s">
        <v>170</v>
      </c>
      <c r="AR2" s="9" t="s">
        <v>171</v>
      </c>
      <c r="AS2" s="9" t="s">
        <v>172</v>
      </c>
      <c r="AT2" s="9" t="s">
        <v>173</v>
      </c>
      <c r="AU2" s="9" t="s">
        <v>174</v>
      </c>
      <c r="AV2" s="9" t="s">
        <v>175</v>
      </c>
      <c r="AW2" s="9" t="s">
        <v>176</v>
      </c>
      <c r="AX2" s="9" t="s">
        <v>177</v>
      </c>
      <c r="AY2" s="9" t="s">
        <v>178</v>
      </c>
      <c r="AZ2" s="9" t="s">
        <v>179</v>
      </c>
      <c r="BA2" s="9" t="s">
        <v>180</v>
      </c>
      <c r="BB2" s="9" t="s">
        <v>181</v>
      </c>
      <c r="BC2" s="25" t="s">
        <v>182</v>
      </c>
      <c r="BD2" s="25" t="s">
        <v>183</v>
      </c>
      <c r="BE2" s="25" t="s">
        <v>184</v>
      </c>
      <c r="BF2" s="25" t="s">
        <v>185</v>
      </c>
      <c r="BG2" s="25" t="s">
        <v>186</v>
      </c>
      <c r="BH2" s="25" t="s">
        <v>187</v>
      </c>
      <c r="BI2" s="25" t="s">
        <v>188</v>
      </c>
      <c r="BJ2" s="25" t="s">
        <v>189</v>
      </c>
      <c r="BK2" s="25" t="s">
        <v>190</v>
      </c>
      <c r="BL2" s="25" t="s">
        <v>191</v>
      </c>
      <c r="BM2" s="25" t="s">
        <v>192</v>
      </c>
      <c r="BN2" s="25" t="s">
        <v>193</v>
      </c>
      <c r="BO2" s="25" t="s">
        <v>194</v>
      </c>
      <c r="BP2" s="25" t="s">
        <v>195</v>
      </c>
      <c r="BQ2" s="25" t="s">
        <v>196</v>
      </c>
      <c r="BR2" s="25" t="s">
        <v>197</v>
      </c>
      <c r="BS2" s="25" t="s">
        <v>198</v>
      </c>
      <c r="BT2" s="25" t="s">
        <v>199</v>
      </c>
      <c r="BU2" s="25" t="s">
        <v>200</v>
      </c>
      <c r="BV2" s="26" t="s">
        <v>208</v>
      </c>
      <c r="BW2" s="25" t="s">
        <v>209</v>
      </c>
    </row>
    <row r="3" spans="1:111" x14ac:dyDescent="0.25">
      <c r="A3" s="2" t="s">
        <v>53</v>
      </c>
      <c r="B3" s="3" t="s">
        <v>54</v>
      </c>
      <c r="C3" s="12">
        <v>5</v>
      </c>
      <c r="D3" s="12">
        <v>27</v>
      </c>
      <c r="E3" s="12">
        <v>26</v>
      </c>
      <c r="F3" s="12">
        <v>21</v>
      </c>
      <c r="G3" s="12">
        <v>6</v>
      </c>
      <c r="H3" s="12">
        <v>6</v>
      </c>
      <c r="I3" s="12">
        <v>8</v>
      </c>
      <c r="J3" s="12">
        <v>12</v>
      </c>
      <c r="K3" s="12">
        <v>8</v>
      </c>
      <c r="L3" s="12">
        <v>5</v>
      </c>
      <c r="M3" s="12">
        <v>48</v>
      </c>
      <c r="N3" s="12">
        <v>34</v>
      </c>
      <c r="O3" s="12">
        <v>18</v>
      </c>
      <c r="P3" s="12">
        <v>45</v>
      </c>
      <c r="Q3" s="12">
        <v>40</v>
      </c>
      <c r="R3" s="12">
        <v>38</v>
      </c>
      <c r="S3" s="12">
        <v>26</v>
      </c>
      <c r="T3" s="12">
        <v>62</v>
      </c>
      <c r="U3" s="12">
        <v>28</v>
      </c>
      <c r="V3" s="12">
        <v>22</v>
      </c>
      <c r="W3" s="12">
        <v>33</v>
      </c>
      <c r="X3" s="12">
        <v>15</v>
      </c>
      <c r="Y3" s="12">
        <v>15</v>
      </c>
      <c r="Z3" s="12">
        <v>30</v>
      </c>
      <c r="AA3" s="12">
        <v>23</v>
      </c>
      <c r="AB3" s="12">
        <v>35</v>
      </c>
      <c r="AC3" s="12">
        <v>17</v>
      </c>
      <c r="AD3" s="12">
        <v>15</v>
      </c>
      <c r="AE3" s="12">
        <v>27</v>
      </c>
      <c r="AF3" s="12">
        <v>16</v>
      </c>
      <c r="AG3" s="12">
        <v>20</v>
      </c>
      <c r="AH3" s="12">
        <v>24</v>
      </c>
      <c r="AI3" s="12">
        <v>49</v>
      </c>
      <c r="AJ3" s="12">
        <v>31</v>
      </c>
      <c r="AK3" s="12">
        <v>26</v>
      </c>
      <c r="AL3" s="12">
        <v>21</v>
      </c>
      <c r="AM3" s="12">
        <v>34</v>
      </c>
      <c r="AN3" s="12">
        <v>42</v>
      </c>
      <c r="AO3" s="12">
        <v>71</v>
      </c>
      <c r="AP3" s="12">
        <v>39</v>
      </c>
      <c r="AQ3" s="12">
        <v>25</v>
      </c>
      <c r="AR3" s="12">
        <v>33</v>
      </c>
      <c r="AS3" s="12">
        <v>17</v>
      </c>
      <c r="AT3" s="12">
        <v>17</v>
      </c>
      <c r="AU3" s="12">
        <v>21</v>
      </c>
      <c r="AV3" s="12">
        <v>15</v>
      </c>
      <c r="AW3" s="12">
        <v>19</v>
      </c>
      <c r="AX3" s="12">
        <v>2</v>
      </c>
      <c r="AY3" s="12">
        <v>28</v>
      </c>
      <c r="AZ3" s="12">
        <v>20</v>
      </c>
      <c r="BA3" s="12">
        <v>6</v>
      </c>
      <c r="BB3" s="12">
        <v>4</v>
      </c>
      <c r="BC3" s="12">
        <v>5</v>
      </c>
      <c r="BD3" s="12">
        <v>11</v>
      </c>
      <c r="BE3" s="12">
        <v>29</v>
      </c>
      <c r="BF3" s="12">
        <v>37</v>
      </c>
      <c r="BG3" s="12">
        <v>25</v>
      </c>
      <c r="BH3" s="12">
        <v>28</v>
      </c>
      <c r="BI3" s="12">
        <v>26</v>
      </c>
      <c r="BJ3" s="12">
        <v>23</v>
      </c>
      <c r="BK3" s="12">
        <v>33</v>
      </c>
      <c r="BL3" s="12">
        <v>27</v>
      </c>
      <c r="BM3" s="12">
        <v>21</v>
      </c>
      <c r="BN3" s="12">
        <v>25</v>
      </c>
      <c r="BO3" s="12">
        <v>30</v>
      </c>
      <c r="BP3" s="12">
        <v>28</v>
      </c>
      <c r="BQ3" s="12">
        <v>24</v>
      </c>
      <c r="BR3" s="12">
        <v>26</v>
      </c>
      <c r="BS3" s="12">
        <v>17</v>
      </c>
      <c r="BT3" s="12">
        <v>34</v>
      </c>
      <c r="BU3" s="12">
        <v>36</v>
      </c>
      <c r="BV3" s="12">
        <v>46</v>
      </c>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row>
    <row r="4" spans="1:111" x14ac:dyDescent="0.25">
      <c r="A4" s="2"/>
      <c r="B4" s="3" t="s">
        <v>210</v>
      </c>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v>911</v>
      </c>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row>
    <row r="5" spans="1:111" ht="30" x14ac:dyDescent="0.25">
      <c r="A5" s="2" t="s">
        <v>212</v>
      </c>
      <c r="B5" s="3" t="s">
        <v>56</v>
      </c>
      <c r="C5" s="22">
        <v>3.0787037037037037E-3</v>
      </c>
      <c r="D5" s="22">
        <v>1.9201388888888889E-2</v>
      </c>
      <c r="E5" s="22">
        <v>1.1643518518518518E-2</v>
      </c>
      <c r="F5" s="22">
        <v>1.0021180555555556</v>
      </c>
      <c r="G5" s="14">
        <v>5.3935185185185188E-3</v>
      </c>
      <c r="H5" s="14">
        <v>0.99861111111111112</v>
      </c>
      <c r="I5" s="14">
        <v>1.2638888888888889E-2</v>
      </c>
      <c r="J5" s="14">
        <v>1.2349537037037037E-2</v>
      </c>
      <c r="K5" s="14">
        <v>1.0965277777777778</v>
      </c>
      <c r="L5" s="14">
        <v>1.1284722222222222E-2</v>
      </c>
      <c r="M5" s="14">
        <v>2.1886574074074076E-2</v>
      </c>
      <c r="N5" s="14">
        <v>2.4097222222222221E-2</v>
      </c>
      <c r="O5" s="14">
        <v>2.6562499999999999E-2</v>
      </c>
      <c r="P5" s="14">
        <v>2.5347222222222222E-2</v>
      </c>
      <c r="Q5" s="14">
        <v>2.074074074074074E-2</v>
      </c>
      <c r="R5" s="14">
        <v>2.0370370370370372E-2</v>
      </c>
      <c r="S5" s="14">
        <v>2.8541666666666667E-2</v>
      </c>
      <c r="T5" s="14">
        <v>1.2319444444444445</v>
      </c>
      <c r="U5" s="14">
        <v>2.5555555555555557E-2</v>
      </c>
      <c r="V5" s="14">
        <v>3.3460648148148149E-2</v>
      </c>
      <c r="W5" s="14">
        <v>2.7233796296296298E-2</v>
      </c>
      <c r="X5" s="14">
        <v>3.5011574074074077E-2</v>
      </c>
      <c r="Y5" s="14">
        <v>4.0254629629629626E-2</v>
      </c>
      <c r="Z5" s="14">
        <v>3.2025462962962964E-2</v>
      </c>
      <c r="AA5" s="14">
        <v>2.2034722222222221</v>
      </c>
      <c r="AB5" s="14">
        <v>2.9861111111111113E-2</v>
      </c>
      <c r="AC5" s="14">
        <v>3.6805555555555557E-2</v>
      </c>
      <c r="AD5" s="14">
        <v>6.25E-2</v>
      </c>
      <c r="AE5" s="14">
        <v>2.5000000000000001E-2</v>
      </c>
      <c r="AF5" s="14">
        <v>2.6180555555555554</v>
      </c>
      <c r="AG5" s="14">
        <v>3.3333333333333333E-2</v>
      </c>
      <c r="AH5" s="14">
        <v>2.7083333333333334E-2</v>
      </c>
      <c r="AI5" s="14">
        <v>2.9803240740740741E-2</v>
      </c>
      <c r="AJ5" s="14">
        <v>2.8854166666666667E-2</v>
      </c>
      <c r="AK5" s="14">
        <v>2.2430555555555554E-2</v>
      </c>
      <c r="AL5" s="14">
        <v>2.4166666666666666E-2</v>
      </c>
      <c r="AM5" s="14">
        <v>2.2824074074074073E-2</v>
      </c>
      <c r="AN5" s="14">
        <v>2.0729166666666667E-2</v>
      </c>
      <c r="AO5" s="14">
        <v>2.2256944444444444E-2</v>
      </c>
      <c r="AP5" s="14">
        <v>2.824074074074074E-2</v>
      </c>
      <c r="AQ5" s="14">
        <v>2.6689814814814816E-2</v>
      </c>
      <c r="AR5" s="14">
        <v>2.6030092592592594E-2</v>
      </c>
      <c r="AS5" s="14">
        <v>1.3402777777777777E-2</v>
      </c>
      <c r="AT5" s="14">
        <v>0.93194444444444446</v>
      </c>
      <c r="AU5" s="14">
        <v>1.7488425925925925E-2</v>
      </c>
      <c r="AV5" s="14">
        <v>2.6053240740740741E-2</v>
      </c>
      <c r="AW5" s="14">
        <v>1.8564814814814815E-2</v>
      </c>
      <c r="AX5" s="14">
        <v>1.4513888888888889E-2</v>
      </c>
      <c r="AY5" s="14">
        <v>1.9016203703703705E-2</v>
      </c>
      <c r="AZ5" s="14">
        <v>1.7939814814814815E-2</v>
      </c>
      <c r="BA5" s="14">
        <v>1.6284722222222221E-2</v>
      </c>
      <c r="BB5" s="14">
        <v>1.804398148148148E-2</v>
      </c>
      <c r="BC5" s="22">
        <v>1.8078703703703704E-2</v>
      </c>
      <c r="BD5" s="22">
        <v>1.3356481481481481E-2</v>
      </c>
      <c r="BE5" s="22">
        <v>1.4953703703703703E-2</v>
      </c>
      <c r="BF5" s="22">
        <v>1.6331018518518519E-2</v>
      </c>
      <c r="BG5" s="22">
        <v>1.7418981481481483E-2</v>
      </c>
      <c r="BH5" s="22">
        <v>1.9120370370370371E-2</v>
      </c>
      <c r="BI5" s="22">
        <v>1.1666666666666667E-2</v>
      </c>
      <c r="BJ5" s="22">
        <v>1.5833333333333335E-2</v>
      </c>
      <c r="BK5" s="22">
        <v>2.0312500000000001E-2</v>
      </c>
      <c r="BL5" s="22">
        <v>2.0370370370370372E-2</v>
      </c>
      <c r="BM5" s="22">
        <v>1.6967592592592593E-2</v>
      </c>
      <c r="BN5" s="22">
        <v>1.6435185185185185E-2</v>
      </c>
      <c r="BO5" s="22">
        <v>1.7604166666666667E-2</v>
      </c>
      <c r="BP5" s="22">
        <v>1.7800925925925925E-2</v>
      </c>
      <c r="BQ5" s="22">
        <v>2.420138888888889E-2</v>
      </c>
      <c r="BR5" s="22">
        <v>2.0347222222222221E-2</v>
      </c>
      <c r="BS5" s="22">
        <v>2.1597222222222223E-2</v>
      </c>
      <c r="BT5" s="22">
        <v>2.0844907407407406E-2</v>
      </c>
      <c r="BU5" s="22">
        <v>2.1712962962962962E-2</v>
      </c>
      <c r="BV5" s="22">
        <v>1.9745370370370371E-2</v>
      </c>
      <c r="BW5" s="22">
        <v>7.1296296296296299E-3</v>
      </c>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row>
    <row r="6" spans="1:111" ht="30" x14ac:dyDescent="0.25">
      <c r="A6" s="2" t="s">
        <v>57</v>
      </c>
      <c r="B6" s="3" t="s">
        <v>58</v>
      </c>
      <c r="C6" s="15">
        <v>2</v>
      </c>
      <c r="D6" s="15">
        <v>5</v>
      </c>
      <c r="E6" s="16">
        <v>15</v>
      </c>
      <c r="F6" s="16">
        <v>3</v>
      </c>
      <c r="G6" s="16">
        <v>2</v>
      </c>
      <c r="H6" s="16">
        <v>2</v>
      </c>
      <c r="I6" s="16">
        <v>1</v>
      </c>
      <c r="J6" s="16">
        <v>0</v>
      </c>
      <c r="K6" s="16">
        <v>1</v>
      </c>
      <c r="L6" s="16">
        <v>0</v>
      </c>
      <c r="M6" s="16">
        <v>3</v>
      </c>
      <c r="N6" s="16">
        <v>2</v>
      </c>
      <c r="O6" s="16">
        <v>3</v>
      </c>
      <c r="P6" s="16">
        <v>4</v>
      </c>
      <c r="Q6" s="16">
        <v>3</v>
      </c>
      <c r="R6" s="16">
        <v>8</v>
      </c>
      <c r="S6" s="16">
        <v>2</v>
      </c>
      <c r="T6" s="16">
        <v>6</v>
      </c>
      <c r="U6" s="16">
        <v>6</v>
      </c>
      <c r="V6" s="16">
        <v>1</v>
      </c>
      <c r="W6" s="16">
        <v>4</v>
      </c>
      <c r="X6" s="16">
        <v>3</v>
      </c>
      <c r="Y6" s="16">
        <v>2</v>
      </c>
      <c r="Z6" s="16">
        <v>4</v>
      </c>
      <c r="AA6" s="16">
        <v>2</v>
      </c>
      <c r="AB6" s="16">
        <v>1</v>
      </c>
      <c r="AC6" s="16">
        <v>1</v>
      </c>
      <c r="AD6" s="16">
        <v>1</v>
      </c>
      <c r="AE6" s="16">
        <v>1</v>
      </c>
      <c r="AF6" s="16">
        <v>2</v>
      </c>
      <c r="AG6" s="16">
        <v>2</v>
      </c>
      <c r="AH6" s="16">
        <v>2</v>
      </c>
      <c r="AI6" s="16">
        <v>1</v>
      </c>
      <c r="AJ6" s="16">
        <v>2</v>
      </c>
      <c r="AK6" s="16">
        <v>1</v>
      </c>
      <c r="AL6" s="16">
        <v>3</v>
      </c>
      <c r="AM6" s="16">
        <v>1</v>
      </c>
      <c r="AN6" s="16">
        <v>3</v>
      </c>
      <c r="AO6" s="16">
        <v>4</v>
      </c>
      <c r="AP6" s="16">
        <v>2</v>
      </c>
      <c r="AQ6" s="16">
        <v>3</v>
      </c>
      <c r="AR6" s="16">
        <v>2</v>
      </c>
      <c r="AS6" s="16">
        <v>4</v>
      </c>
      <c r="AT6" s="16">
        <v>3</v>
      </c>
      <c r="AU6" s="16">
        <v>2</v>
      </c>
      <c r="AV6" s="16">
        <v>1</v>
      </c>
      <c r="AW6" s="16">
        <v>4</v>
      </c>
      <c r="AX6" s="16">
        <v>1</v>
      </c>
      <c r="AY6" s="16">
        <v>3</v>
      </c>
      <c r="AZ6" s="16">
        <v>2</v>
      </c>
      <c r="BA6" s="16">
        <v>1</v>
      </c>
      <c r="BB6" s="16">
        <v>0</v>
      </c>
      <c r="BC6" s="12">
        <v>0</v>
      </c>
      <c r="BD6" s="12">
        <v>0</v>
      </c>
      <c r="BE6" s="12">
        <v>2</v>
      </c>
      <c r="BF6" s="12">
        <v>3</v>
      </c>
      <c r="BG6" s="12">
        <v>2</v>
      </c>
      <c r="BH6" s="12">
        <v>4</v>
      </c>
      <c r="BI6" s="12">
        <v>7</v>
      </c>
      <c r="BJ6" s="12">
        <v>3</v>
      </c>
      <c r="BK6" s="12">
        <v>4</v>
      </c>
      <c r="BL6" s="12">
        <v>3</v>
      </c>
      <c r="BM6" s="12">
        <v>4</v>
      </c>
      <c r="BN6" s="12">
        <v>3</v>
      </c>
      <c r="BO6" s="12">
        <v>4</v>
      </c>
      <c r="BP6" s="12">
        <v>5</v>
      </c>
      <c r="BQ6" s="12">
        <v>6</v>
      </c>
      <c r="BR6" s="12">
        <v>3</v>
      </c>
      <c r="BS6" s="12">
        <v>3</v>
      </c>
      <c r="BT6" s="12">
        <v>14</v>
      </c>
      <c r="BU6" s="12">
        <v>6</v>
      </c>
      <c r="BV6" s="12">
        <v>10</v>
      </c>
      <c r="BW6" s="12">
        <v>10</v>
      </c>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row>
    <row r="7" spans="1:111" ht="30" x14ac:dyDescent="0.25">
      <c r="A7" s="2" t="s">
        <v>211</v>
      </c>
      <c r="B7" s="4" t="s">
        <v>201</v>
      </c>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row>
    <row r="8" spans="1:111" s="24" customFormat="1" x14ac:dyDescent="0.25">
      <c r="A8" s="2"/>
      <c r="B8" s="5" t="s">
        <v>105</v>
      </c>
      <c r="C8" s="14">
        <v>0</v>
      </c>
      <c r="D8" s="14">
        <v>1.5046296296296297E-4</v>
      </c>
      <c r="E8" s="14">
        <v>7.7546296296296293E-4</v>
      </c>
      <c r="F8" s="14">
        <v>1.238425925925926E-3</v>
      </c>
      <c r="G8" s="13">
        <v>0.31597222222222221</v>
      </c>
      <c r="H8" s="13">
        <v>0.19444444444444445</v>
      </c>
      <c r="I8" s="14">
        <v>5.5555555555555556E-4</v>
      </c>
      <c r="J8" s="14">
        <v>1.0879629629629629E-3</v>
      </c>
      <c r="K8" s="14">
        <v>2.4305555555555555E-4</v>
      </c>
      <c r="L8" s="14">
        <v>1.5509259259259259E-3</v>
      </c>
      <c r="M8" s="14">
        <v>8.6226851851851846E-3</v>
      </c>
      <c r="N8" s="14">
        <v>4.1087962962962962E-3</v>
      </c>
      <c r="O8" s="14">
        <v>2.199074074074074E-4</v>
      </c>
      <c r="P8" s="14">
        <v>1.0729166666666666E-2</v>
      </c>
      <c r="Q8" s="14">
        <v>6.134259259259259E-4</v>
      </c>
      <c r="R8" s="14" t="s">
        <v>117</v>
      </c>
      <c r="S8" s="14"/>
      <c r="T8" s="14"/>
      <c r="U8" s="14"/>
      <c r="V8" s="14">
        <v>6.9444444444444444E-5</v>
      </c>
      <c r="W8" s="14">
        <v>5.2083333333333333E-4</v>
      </c>
      <c r="X8" s="14">
        <v>8.1018518518518516E-5</v>
      </c>
      <c r="Y8" s="14">
        <v>1.4583333333333334E-3</v>
      </c>
      <c r="Z8" s="14">
        <v>1.7824074074074075E-3</v>
      </c>
      <c r="AA8" s="14">
        <v>2.8240740740740739E-3</v>
      </c>
      <c r="AB8" s="14">
        <v>3.9467592592592592E-3</v>
      </c>
      <c r="AC8" s="14">
        <v>1.0208333333333333E-2</v>
      </c>
      <c r="AD8" s="14">
        <v>5.7870370370370373E-5</v>
      </c>
      <c r="AE8" s="14"/>
      <c r="AF8" s="14">
        <v>5.6712962962962967E-4</v>
      </c>
      <c r="AG8" s="14">
        <v>2.4305555555555555E-4</v>
      </c>
      <c r="AH8" s="14">
        <v>4.1666666666666669E-4</v>
      </c>
      <c r="AI8" s="14"/>
      <c r="AJ8" s="14">
        <v>1.1342592592592593E-3</v>
      </c>
      <c r="AK8" s="14">
        <v>9.3287037037037036E-3</v>
      </c>
      <c r="AL8" s="14">
        <v>3.5763888888888889E-3</v>
      </c>
      <c r="AM8" s="14">
        <v>2.0833333333333335E-4</v>
      </c>
      <c r="AN8" s="14">
        <v>9.8611111111111104E-3</v>
      </c>
      <c r="AO8" s="14">
        <v>1.5972222222222223E-3</v>
      </c>
      <c r="AP8" s="14">
        <v>3.0208333333333333E-3</v>
      </c>
      <c r="AQ8" s="14">
        <v>5.7870370370370367E-4</v>
      </c>
      <c r="AR8" s="14">
        <v>2.9398148148148148E-3</v>
      </c>
      <c r="AS8" s="14">
        <v>1.7361111111111112E-4</v>
      </c>
      <c r="AT8" s="14"/>
      <c r="AU8" s="14"/>
      <c r="AV8" s="14">
        <v>3.8194444444444446E-4</v>
      </c>
      <c r="AW8" s="14">
        <v>2.4305555555555555E-4</v>
      </c>
      <c r="AX8" s="14"/>
      <c r="AY8" s="14">
        <v>1.8171296296296297E-3</v>
      </c>
      <c r="AZ8" s="14">
        <v>2.7777777777777778E-4</v>
      </c>
      <c r="BA8" s="14">
        <v>1.6782407407407408E-3</v>
      </c>
      <c r="BB8" s="14">
        <v>1.1458333333333333E-3</v>
      </c>
      <c r="BC8" s="22">
        <v>1.1574074074074075E-4</v>
      </c>
      <c r="BD8" s="22">
        <v>3.7037037037037035E-4</v>
      </c>
      <c r="BE8" s="22">
        <v>5.9953703703703705E-3</v>
      </c>
      <c r="BF8" s="22">
        <v>7.4305555555555557E-3</v>
      </c>
      <c r="BG8" s="22">
        <v>4.6296296296296298E-4</v>
      </c>
      <c r="BH8" s="22">
        <v>4.3750000000000004E-3</v>
      </c>
      <c r="BI8" s="22">
        <v>3.7037037037037038E-3</v>
      </c>
      <c r="BJ8" s="22">
        <v>2.5578703703703705E-3</v>
      </c>
      <c r="BK8" s="22">
        <v>4.43287037037037E-3</v>
      </c>
      <c r="BL8" s="22">
        <v>1.1689814814814816E-3</v>
      </c>
      <c r="BM8" s="22">
        <v>6.7592592592592591E-3</v>
      </c>
      <c r="BN8" s="22">
        <v>1.7476851851851852E-3</v>
      </c>
      <c r="BO8" s="22">
        <v>1.3888888888888889E-4</v>
      </c>
      <c r="BP8" s="22">
        <v>2.7430555555555554E-3</v>
      </c>
      <c r="BQ8" s="22">
        <v>2.3495370370370371E-3</v>
      </c>
      <c r="BR8" s="22">
        <v>1.0648148148148149E-3</v>
      </c>
      <c r="BS8" s="22">
        <v>7.7777777777777776E-3</v>
      </c>
      <c r="BT8" s="22">
        <v>3.1134259259259257E-3</v>
      </c>
      <c r="BU8" s="22">
        <v>3.9930555555555552E-3</v>
      </c>
      <c r="BV8" s="22">
        <v>6.076388888888889E-3</v>
      </c>
      <c r="BW8" s="22">
        <v>1.1689814814814816E-3</v>
      </c>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row>
    <row r="9" spans="1:111" s="24" customFormat="1" x14ac:dyDescent="0.25">
      <c r="A9" s="2"/>
      <c r="B9" s="5" t="s">
        <v>79</v>
      </c>
      <c r="C9" s="14"/>
      <c r="D9" s="14">
        <v>1.3657407407407407E-3</v>
      </c>
      <c r="E9" s="14">
        <v>6.898148148148148E-3</v>
      </c>
      <c r="F9" s="14">
        <v>1.238425925925926E-3</v>
      </c>
      <c r="G9" s="13">
        <v>7.7083333333333337E-2</v>
      </c>
      <c r="H9" s="13">
        <v>0.61875000000000002</v>
      </c>
      <c r="I9" s="14">
        <v>4.386574074074074E-3</v>
      </c>
      <c r="J9" s="14">
        <v>9.479166666666667E-3</v>
      </c>
      <c r="K9" s="14">
        <v>2.6631944444444444E-2</v>
      </c>
      <c r="L9" s="14">
        <v>8.611111111111111E-3</v>
      </c>
      <c r="M9" s="14">
        <v>4.9074074074074072E-3</v>
      </c>
      <c r="N9" s="14">
        <v>9.8379629629629633E-3</v>
      </c>
      <c r="O9" s="14">
        <v>6.6898148148148151E-3</v>
      </c>
      <c r="P9" s="14">
        <v>9.0277777777777774E-4</v>
      </c>
      <c r="Q9" s="14">
        <v>1.1574074074074073E-3</v>
      </c>
      <c r="R9" s="14">
        <v>1.1458333333333333E-3</v>
      </c>
      <c r="S9" s="14">
        <v>5.0925925925925921E-4</v>
      </c>
      <c r="T9" s="14">
        <v>3.8541666666666668E-3</v>
      </c>
      <c r="U9" s="14">
        <v>1.7013888888888888E-3</v>
      </c>
      <c r="V9" s="14" t="s">
        <v>117</v>
      </c>
      <c r="W9" s="14">
        <v>2.4189814814814816E-3</v>
      </c>
      <c r="X9" s="14">
        <v>6.9444444444444447E-4</v>
      </c>
      <c r="Y9" s="14">
        <v>4.1319444444444442E-3</v>
      </c>
      <c r="Z9" s="14">
        <v>6.5277777777777782E-3</v>
      </c>
      <c r="AA9" s="14"/>
      <c r="AB9" s="14">
        <v>1.6435185185185185E-3</v>
      </c>
      <c r="AC9" s="14">
        <v>2.3148148148148147E-5</v>
      </c>
      <c r="AD9" s="14">
        <v>1.5046296296296297E-4</v>
      </c>
      <c r="AE9" s="14">
        <v>1.273148148148148E-4</v>
      </c>
      <c r="AF9" s="14">
        <v>1.3888888888888889E-4</v>
      </c>
      <c r="AG9" s="14">
        <v>1.5046296296296297E-4</v>
      </c>
      <c r="AH9" s="14">
        <v>3.9351851851851852E-4</v>
      </c>
      <c r="AI9" s="14">
        <v>8.1018518518518516E-5</v>
      </c>
      <c r="AJ9" s="14">
        <v>8.7962962962962962E-4</v>
      </c>
      <c r="AK9" s="14">
        <v>1.0763888888888889E-3</v>
      </c>
      <c r="AL9" s="14"/>
      <c r="AM9" s="14">
        <v>3.4722222222222222E-5</v>
      </c>
      <c r="AN9" s="14">
        <v>1.9907407407407408E-3</v>
      </c>
      <c r="AO9" s="14">
        <v>2.5694444444444445E-3</v>
      </c>
      <c r="AP9" s="14">
        <v>3.8078703703703703E-3</v>
      </c>
      <c r="AQ9" s="14">
        <v>4.2129629629629626E-3</v>
      </c>
      <c r="AR9" s="14">
        <v>1.4837962962962963E-2</v>
      </c>
      <c r="AS9" s="14">
        <v>5.7870370370370373E-5</v>
      </c>
      <c r="AT9" s="14">
        <v>2.4305555555555556E-3</v>
      </c>
      <c r="AU9" s="14">
        <v>2.1875000000000002E-3</v>
      </c>
      <c r="AV9" s="14">
        <v>1.9675925925925926E-4</v>
      </c>
      <c r="AW9" s="14">
        <v>2.6620370370370372E-4</v>
      </c>
      <c r="AX9" s="14">
        <v>2.6608796296296297E-2</v>
      </c>
      <c r="AY9" s="14">
        <v>5.2777777777777778E-2</v>
      </c>
      <c r="AZ9" s="14">
        <v>3.7499999999999999E-3</v>
      </c>
      <c r="BA9" s="14">
        <v>3.0208333333333333E-3</v>
      </c>
      <c r="BB9" s="14"/>
      <c r="BC9" s="12"/>
      <c r="BD9" s="22">
        <v>1.3078703703703703E-3</v>
      </c>
      <c r="BE9" s="22">
        <v>2.2569444444444442E-3</v>
      </c>
      <c r="BF9" s="22">
        <v>6.3194444444444444E-3</v>
      </c>
      <c r="BG9" s="22">
        <v>5.3356481481481484E-3</v>
      </c>
      <c r="BH9" s="22">
        <v>1.7048611111111112E-2</v>
      </c>
      <c r="BI9" s="22">
        <v>3.8425925925925928E-3</v>
      </c>
      <c r="BJ9" s="22">
        <v>2.7314814814814814E-3</v>
      </c>
      <c r="BK9" s="22">
        <v>3.0208333333333333E-3</v>
      </c>
      <c r="BL9" s="22">
        <v>7.2916666666666668E-3</v>
      </c>
      <c r="BM9" s="22">
        <v>7.9861111111111116E-4</v>
      </c>
      <c r="BN9" s="22">
        <v>1.1574074074074073E-3</v>
      </c>
      <c r="BO9" s="22">
        <v>2.5115740740740741E-3</v>
      </c>
      <c r="BP9" s="22">
        <v>6.7129629629629625E-4</v>
      </c>
      <c r="BQ9" s="22">
        <v>1.170138888888889E-2</v>
      </c>
      <c r="BR9" s="22">
        <v>1.4120370370370369E-3</v>
      </c>
      <c r="BS9" s="22">
        <v>1.2743055555555556E-2</v>
      </c>
      <c r="BT9" s="22">
        <v>3.3912037037037036E-3</v>
      </c>
      <c r="BU9" s="22">
        <v>6.1574074074074074E-3</v>
      </c>
      <c r="BV9" s="22">
        <v>5.3125000000000004E-3</v>
      </c>
      <c r="BW9" s="22">
        <v>5.0925925925925921E-4</v>
      </c>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row>
    <row r="10" spans="1:111" s="24" customFormat="1" x14ac:dyDescent="0.25">
      <c r="A10" s="2"/>
      <c r="B10" s="5" t="s">
        <v>69</v>
      </c>
      <c r="C10" s="14">
        <v>4.5138888888888887E-4</v>
      </c>
      <c r="D10" s="14">
        <v>2.8240740740740739E-3</v>
      </c>
      <c r="E10" s="14">
        <v>4.2824074074074075E-3</v>
      </c>
      <c r="F10" s="14">
        <v>3.6574074074074074E-3</v>
      </c>
      <c r="G10" s="13">
        <v>0.8354166666666667</v>
      </c>
      <c r="H10" s="23">
        <v>1.4715277777777778</v>
      </c>
      <c r="I10" s="14">
        <v>2.9398148148148148E-3</v>
      </c>
      <c r="J10" s="14">
        <v>5.9837962962962961E-3</v>
      </c>
      <c r="K10" s="14">
        <v>4.0856481481481481E-3</v>
      </c>
      <c r="L10" s="14">
        <v>4.4444444444444444E-3</v>
      </c>
      <c r="M10" s="14">
        <v>2.207175925925926E-2</v>
      </c>
      <c r="N10" s="14">
        <v>3.0092592592592593E-3</v>
      </c>
      <c r="O10" s="14">
        <v>1.5856481481481481E-3</v>
      </c>
      <c r="P10" s="14">
        <v>9.8032407407407408E-3</v>
      </c>
      <c r="Q10" s="14">
        <v>4.4675925925925924E-3</v>
      </c>
      <c r="R10" s="14">
        <v>5.8680555555555552E-3</v>
      </c>
      <c r="S10" s="14">
        <v>5.2546296296296299E-3</v>
      </c>
      <c r="T10" s="14">
        <v>1.7476851851851852E-3</v>
      </c>
      <c r="U10" s="14">
        <v>9.8958333333333329E-3</v>
      </c>
      <c r="V10" s="22">
        <v>2.627314814814815E-3</v>
      </c>
      <c r="W10" s="14">
        <v>2.627314814814815E-3</v>
      </c>
      <c r="X10" s="14">
        <v>7.6736111111111111E-3</v>
      </c>
      <c r="Y10" s="14">
        <v>7.7199074074074071E-3</v>
      </c>
      <c r="Z10" s="14">
        <v>8.8310185185185193E-3</v>
      </c>
      <c r="AA10" s="14">
        <v>4.9652777777777777E-3</v>
      </c>
      <c r="AB10" s="14">
        <v>8.6805555555555551E-4</v>
      </c>
      <c r="AC10" s="14">
        <v>3.6921296296296298E-3</v>
      </c>
      <c r="AD10" s="14">
        <v>1.5972222222222223E-3</v>
      </c>
      <c r="AE10" s="14">
        <v>3.4722222222222224E-4</v>
      </c>
      <c r="AF10" s="14">
        <v>3.1018518518518517E-3</v>
      </c>
      <c r="AG10" s="14">
        <v>6.134259259259259E-4</v>
      </c>
      <c r="AH10" s="14">
        <v>2.3148148148148147E-3</v>
      </c>
      <c r="AI10" s="14">
        <v>3.8425925925925928E-3</v>
      </c>
      <c r="AJ10" s="14">
        <v>4.386574074074074E-3</v>
      </c>
      <c r="AK10" s="14">
        <v>4.3287037037037035E-3</v>
      </c>
      <c r="AL10" s="14">
        <v>1.0590277777777778E-2</v>
      </c>
      <c r="AM10" s="14">
        <v>2.5578703703703705E-3</v>
      </c>
      <c r="AN10" s="14">
        <v>8.1712962962962963E-3</v>
      </c>
      <c r="AO10" s="14">
        <v>8.1018518518518514E-3</v>
      </c>
      <c r="AP10" s="14">
        <v>2.2800925925925927E-3</v>
      </c>
      <c r="AQ10" s="14">
        <v>6.851851851851852E-3</v>
      </c>
      <c r="AR10" s="14">
        <v>5.7291666666666663E-3</v>
      </c>
      <c r="AS10" s="14">
        <v>7.8935185185185185E-3</v>
      </c>
      <c r="AT10" s="14">
        <v>1.5046296296296296E-3</v>
      </c>
      <c r="AU10" s="14">
        <v>2.0138888888888888E-3</v>
      </c>
      <c r="AV10" s="14">
        <v>1.5393518518518519E-3</v>
      </c>
      <c r="AW10" s="14">
        <v>2.3263888888888887E-3</v>
      </c>
      <c r="AX10" s="14">
        <v>5.5555555555555558E-3</v>
      </c>
      <c r="AY10" s="14">
        <v>1.3888888888888889E-3</v>
      </c>
      <c r="AZ10" s="14">
        <v>3.1250000000000002E-3</v>
      </c>
      <c r="BA10" s="14">
        <v>8.564814814814815E-4</v>
      </c>
      <c r="BB10" s="14">
        <v>2.1064814814814813E-3</v>
      </c>
      <c r="BC10" s="22">
        <v>5.0347222222222225E-3</v>
      </c>
      <c r="BD10" s="22">
        <v>2.0833333333333333E-3</v>
      </c>
      <c r="BE10" s="22">
        <v>1.0717592592592593E-2</v>
      </c>
      <c r="BF10" s="22">
        <v>6.0069444444444441E-3</v>
      </c>
      <c r="BG10" s="22">
        <v>3.8541666666666668E-3</v>
      </c>
      <c r="BH10" s="22">
        <v>3.9351851851851848E-3</v>
      </c>
      <c r="BI10" s="22">
        <v>3.1944444444444446E-3</v>
      </c>
      <c r="BJ10" s="22">
        <v>2.4652777777777776E-3</v>
      </c>
      <c r="BK10" s="22">
        <v>2.7893518518518519E-3</v>
      </c>
      <c r="BL10" s="22">
        <v>7.6504629629629631E-3</v>
      </c>
      <c r="BM10" s="22">
        <v>9.3749999999999997E-3</v>
      </c>
      <c r="BN10" s="22">
        <v>5.0115740740740737E-3</v>
      </c>
      <c r="BO10" s="22">
        <v>5.7060185185185183E-3</v>
      </c>
      <c r="BP10" s="22">
        <v>2.1064814814814813E-3</v>
      </c>
      <c r="BQ10" s="22">
        <v>2.4189814814814816E-3</v>
      </c>
      <c r="BR10" s="22">
        <v>2.2916666666666667E-3</v>
      </c>
      <c r="BS10" s="22">
        <v>7.2453703703703708E-3</v>
      </c>
      <c r="BT10" s="22">
        <v>4.7106481481481478E-3</v>
      </c>
      <c r="BU10" s="22">
        <v>7.7199074074074071E-3</v>
      </c>
      <c r="BV10" s="22">
        <v>3.0787037037037037E-3</v>
      </c>
      <c r="BW10" s="22">
        <v>3.3564814814814812E-4</v>
      </c>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row>
    <row r="11" spans="1:111" s="24" customFormat="1" x14ac:dyDescent="0.25">
      <c r="A11" s="2"/>
      <c r="B11" s="5" t="s">
        <v>64</v>
      </c>
      <c r="C11" s="14">
        <v>1.6898148148148148E-3</v>
      </c>
      <c r="D11" s="14">
        <v>6.5277777777777782E-3</v>
      </c>
      <c r="E11" s="14">
        <v>1.4930555555555556E-3</v>
      </c>
      <c r="F11" s="14">
        <v>1.3078703703703703E-3</v>
      </c>
      <c r="G11" s="13">
        <v>0.13472222222222222</v>
      </c>
      <c r="H11" s="13">
        <v>0.3125</v>
      </c>
      <c r="I11" s="14">
        <v>2.3726851851851851E-3</v>
      </c>
      <c r="J11" s="14">
        <v>1.0995370370370371E-3</v>
      </c>
      <c r="K11" s="14">
        <v>2.2800925925925927E-3</v>
      </c>
      <c r="L11" s="14">
        <v>4.5023148148148149E-3</v>
      </c>
      <c r="M11" s="14">
        <v>6.851851851851852E-3</v>
      </c>
      <c r="N11" s="14">
        <v>2.9861111111111113E-3</v>
      </c>
      <c r="O11" s="14">
        <v>1.8402777777777777E-3</v>
      </c>
      <c r="P11" s="14">
        <v>3.6574074074074074E-3</v>
      </c>
      <c r="Q11" s="14">
        <v>1.8171296296296297E-3</v>
      </c>
      <c r="R11" s="14">
        <v>1.7592592592592592E-3</v>
      </c>
      <c r="S11" s="14">
        <v>0.21805555555555556</v>
      </c>
      <c r="T11" s="14">
        <v>1.8865740740740742E-3</v>
      </c>
      <c r="U11" s="14">
        <v>5.1273148148148146E-3</v>
      </c>
      <c r="V11" s="14">
        <v>8.3333333333333339E-4</v>
      </c>
      <c r="W11" s="14">
        <v>3.5648148148148149E-3</v>
      </c>
      <c r="X11" s="14">
        <v>1.3888888888888889E-3</v>
      </c>
      <c r="Y11" s="14">
        <v>1.5856481481481481E-3</v>
      </c>
      <c r="Z11" s="14">
        <v>6.5393518518518517E-3</v>
      </c>
      <c r="AA11" s="14">
        <v>4.1666666666666666E-3</v>
      </c>
      <c r="AB11" s="14">
        <v>3.2407407407407406E-4</v>
      </c>
      <c r="AC11" s="14">
        <v>7.8240740740740736E-3</v>
      </c>
      <c r="AD11" s="14">
        <v>1.9907407407407408E-3</v>
      </c>
      <c r="AE11" s="14">
        <v>1.7592592592592592E-3</v>
      </c>
      <c r="AF11" s="14">
        <v>1.2037037037037038E-3</v>
      </c>
      <c r="AG11" s="14">
        <v>3.7037037037037035E-4</v>
      </c>
      <c r="AH11" s="14">
        <v>1.9675925925925926E-4</v>
      </c>
      <c r="AI11" s="14">
        <v>4.0046296296296297E-3</v>
      </c>
      <c r="AJ11" s="14">
        <v>4.4907407407407405E-3</v>
      </c>
      <c r="AK11" s="14">
        <v>4.2592592592592595E-3</v>
      </c>
      <c r="AL11" s="14">
        <v>3.5300925925925925E-3</v>
      </c>
      <c r="AM11" s="14">
        <v>1.0995370370370371E-3</v>
      </c>
      <c r="AN11" s="14">
        <v>4.8495370370370368E-3</v>
      </c>
      <c r="AO11" s="14">
        <v>5.9837962962962961E-3</v>
      </c>
      <c r="AP11" s="14">
        <v>3.0555555555555557E-3</v>
      </c>
      <c r="AQ11" s="14">
        <v>2.638888888888889E-3</v>
      </c>
      <c r="AR11" s="14">
        <v>2.3958333333333331E-3</v>
      </c>
      <c r="AS11" s="14">
        <v>1.3773148148148147E-3</v>
      </c>
      <c r="AT11" s="14">
        <v>1.8865740740740742E-3</v>
      </c>
      <c r="AU11" s="14">
        <v>8.4490740740740739E-4</v>
      </c>
      <c r="AV11" s="14">
        <v>2.5462962962962961E-4</v>
      </c>
      <c r="AW11" s="14">
        <v>3.449074074074074E-3</v>
      </c>
      <c r="AX11" s="14">
        <v>2.0138888888888888E-3</v>
      </c>
      <c r="AY11" s="14">
        <v>2.8240740740740739E-3</v>
      </c>
      <c r="AZ11" s="14">
        <v>2.6967592592592594E-3</v>
      </c>
      <c r="BA11" s="14">
        <v>9.0277777777777774E-4</v>
      </c>
      <c r="BB11" s="14">
        <v>2.685185185185185E-3</v>
      </c>
      <c r="BC11" s="22">
        <v>5.6944444444444447E-3</v>
      </c>
      <c r="BD11" s="22">
        <v>2.627314814814815E-3</v>
      </c>
      <c r="BE11" s="22">
        <v>1.8171296296296297E-2</v>
      </c>
      <c r="BF11" s="22">
        <v>6.3194444444444444E-3</v>
      </c>
      <c r="BG11" s="22">
        <v>3.6689814814814814E-3</v>
      </c>
      <c r="BH11" s="22">
        <v>6.7476851851851856E-3</v>
      </c>
      <c r="BI11" s="22">
        <v>3.4953703703703705E-3</v>
      </c>
      <c r="BJ11" s="22">
        <v>2.8587962962962963E-3</v>
      </c>
      <c r="BK11" s="22">
        <v>5.0000000000000001E-3</v>
      </c>
      <c r="BL11" s="22">
        <v>1.0671296296296297E-2</v>
      </c>
      <c r="BM11" s="22">
        <v>6.9791666666666665E-3</v>
      </c>
      <c r="BN11" s="22">
        <v>3.0324074074074073E-3</v>
      </c>
      <c r="BO11" s="22">
        <v>5.8680555555555552E-3</v>
      </c>
      <c r="BP11" s="22">
        <v>3.4953703703703705E-3</v>
      </c>
      <c r="BQ11" s="22">
        <v>4.9884259259259257E-3</v>
      </c>
      <c r="BR11" s="22">
        <v>1.2962962962962963E-3</v>
      </c>
      <c r="BS11" s="22">
        <v>4.6296296296296294E-3</v>
      </c>
      <c r="BT11" s="22">
        <v>5.4282407407407404E-3</v>
      </c>
      <c r="BU11" s="22">
        <v>5.347222222222222E-3</v>
      </c>
      <c r="BV11" s="22">
        <v>4.7685185185185183E-3</v>
      </c>
      <c r="BW11" s="22">
        <v>4.1666666666666669E-4</v>
      </c>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row>
    <row r="12" spans="1:111" s="24" customFormat="1" x14ac:dyDescent="0.25">
      <c r="A12" s="2"/>
      <c r="B12" s="5" t="s">
        <v>202</v>
      </c>
      <c r="C12" s="14"/>
      <c r="D12" s="14"/>
      <c r="E12" s="14"/>
      <c r="F12" s="14"/>
      <c r="G12" s="13"/>
      <c r="H12" s="13"/>
      <c r="I12" s="14"/>
      <c r="J12" s="14"/>
      <c r="K12" s="14"/>
      <c r="L12" s="14"/>
      <c r="M12" s="14"/>
      <c r="N12" s="14"/>
      <c r="O12" s="14"/>
      <c r="P12" s="14"/>
      <c r="Q12" s="14"/>
      <c r="R12" s="14"/>
      <c r="S12" s="14"/>
      <c r="T12" s="14"/>
      <c r="U12" s="14"/>
      <c r="V12" s="14"/>
      <c r="W12" s="14"/>
      <c r="X12" s="14">
        <v>8.1018518518518516E-5</v>
      </c>
      <c r="Y12" s="14">
        <v>4.6296296296296298E-4</v>
      </c>
      <c r="Z12" s="14"/>
      <c r="AA12" s="14">
        <v>3.4722222222222222E-5</v>
      </c>
      <c r="AB12" s="14"/>
      <c r="AC12" s="14">
        <v>4.0740740740740737E-3</v>
      </c>
      <c r="AD12" s="14"/>
      <c r="AE12" s="14">
        <v>3.6111111111111109E-3</v>
      </c>
      <c r="AF12" s="14"/>
      <c r="AG12" s="14"/>
      <c r="AH12" s="14"/>
      <c r="AI12" s="14"/>
      <c r="AJ12" s="14"/>
      <c r="AK12" s="14"/>
      <c r="AL12" s="14">
        <v>1.5046296296296296E-3</v>
      </c>
      <c r="AM12" s="14"/>
      <c r="AN12" s="14"/>
      <c r="AO12" s="14">
        <v>3.9930555555555552E-3</v>
      </c>
      <c r="AP12" s="14">
        <v>4.8611111111111112E-3</v>
      </c>
      <c r="AQ12" s="14">
        <v>7.291666666666667E-4</v>
      </c>
      <c r="AR12" s="14"/>
      <c r="AS12" s="14">
        <v>5.8217592592592592E-3</v>
      </c>
      <c r="AT12" s="14"/>
      <c r="AU12" s="14"/>
      <c r="AV12" s="14"/>
      <c r="AW12" s="14"/>
      <c r="AX12" s="14"/>
      <c r="AY12" s="14">
        <v>4.1666666666666669E-4</v>
      </c>
      <c r="AZ12" s="14">
        <v>1.3888888888888889E-4</v>
      </c>
      <c r="BA12" s="14">
        <v>2.3148148148148147E-5</v>
      </c>
      <c r="BB12" s="14">
        <v>3.8194444444444446E-4</v>
      </c>
      <c r="BC12" s="12"/>
      <c r="BD12" s="22">
        <v>3.4837962962962965E-3</v>
      </c>
      <c r="BE12" s="22">
        <v>2.1296296296296298E-3</v>
      </c>
      <c r="BF12" s="22">
        <v>4.6296296296296294E-5</v>
      </c>
      <c r="BG12" s="22">
        <v>3.3912037037037036E-3</v>
      </c>
      <c r="BH12" s="22">
        <v>1.9328703703703704E-3</v>
      </c>
      <c r="BI12" s="12"/>
      <c r="BJ12" s="22">
        <v>2.0833333333333333E-3</v>
      </c>
      <c r="BK12" s="22">
        <v>1.0497685185185185E-2</v>
      </c>
      <c r="BL12" s="22">
        <v>1.4999999999999999E-2</v>
      </c>
      <c r="BM12" s="13"/>
      <c r="BN12" s="13"/>
      <c r="BO12" s="22">
        <v>1.1574074074074073E-5</v>
      </c>
      <c r="BP12" s="22">
        <v>8.3333333333333339E-4</v>
      </c>
      <c r="BQ12" s="12"/>
      <c r="BR12" s="12"/>
      <c r="BS12" s="22">
        <v>6.4351851851851853E-3</v>
      </c>
      <c r="BT12" s="22">
        <v>2.4305555555555555E-4</v>
      </c>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row>
    <row r="13" spans="1:111" s="24" customFormat="1" x14ac:dyDescent="0.25">
      <c r="A13" s="2"/>
      <c r="B13" s="5" t="s">
        <v>74</v>
      </c>
      <c r="C13" s="14">
        <v>5.0925925925925921E-4</v>
      </c>
      <c r="D13" s="14">
        <v>2.4305555555555555E-4</v>
      </c>
      <c r="E13" s="14">
        <v>2.5578703703703705E-3</v>
      </c>
      <c r="F13" s="14">
        <v>3.449074074074074E-3</v>
      </c>
      <c r="G13" s="13">
        <v>0.13055555555555556</v>
      </c>
      <c r="H13" s="13">
        <v>0.45833333333333331</v>
      </c>
      <c r="I13" s="14">
        <v>1.6782407407407408E-3</v>
      </c>
      <c r="J13" s="14">
        <v>2.1990740740740742E-3</v>
      </c>
      <c r="K13" s="14">
        <v>1.273148148148148E-4</v>
      </c>
      <c r="L13" s="14">
        <v>1.3888888888888889E-4</v>
      </c>
      <c r="M13" s="14">
        <v>3.2754629629629631E-3</v>
      </c>
      <c r="N13" s="14">
        <v>5.5902777777777773E-3</v>
      </c>
      <c r="O13" s="14">
        <v>2.6620370370370372E-4</v>
      </c>
      <c r="P13" s="14">
        <v>8.3101851851851843E-3</v>
      </c>
      <c r="Q13" s="14">
        <v>5.9722222222222225E-2</v>
      </c>
      <c r="R13" s="14">
        <v>0.10902777777777778</v>
      </c>
      <c r="S13" s="14">
        <v>6.3194444444444442E-2</v>
      </c>
      <c r="T13" s="14">
        <v>0.19236111111111112</v>
      </c>
      <c r="U13" s="14">
        <v>8.0555555555555561E-2</v>
      </c>
      <c r="V13" s="14">
        <v>5.2777777777777778E-2</v>
      </c>
      <c r="W13" s="14">
        <v>0.10069444444444445</v>
      </c>
      <c r="X13" s="14">
        <v>9.0277777777777776E-2</v>
      </c>
      <c r="Y13" s="14">
        <v>1.9791666666666668E-3</v>
      </c>
      <c r="Z13" s="14">
        <v>0.11319444444444444</v>
      </c>
      <c r="AA13" s="14">
        <v>0.12638888888888888</v>
      </c>
      <c r="AB13" s="14">
        <v>9.0277777777777776E-2</v>
      </c>
      <c r="AC13" s="14">
        <v>9.375E-2</v>
      </c>
      <c r="AD13" s="14">
        <v>6.3125000000000001E-2</v>
      </c>
      <c r="AE13" s="14">
        <v>7.7777777777777779E-2</v>
      </c>
      <c r="AF13" s="14">
        <v>0.1451388888888889</v>
      </c>
      <c r="AG13" s="14">
        <v>0.31944444444444442</v>
      </c>
      <c r="AH13" s="14">
        <v>0.20277777777777778</v>
      </c>
      <c r="AI13" s="14">
        <v>0.24513888888888888</v>
      </c>
      <c r="AJ13" s="14">
        <v>0.12569444444444444</v>
      </c>
      <c r="AK13" s="14">
        <v>7.7083333333333337E-2</v>
      </c>
      <c r="AL13" s="14">
        <v>0.12986111111111112</v>
      </c>
      <c r="AM13" s="14">
        <v>8.7499999999999994E-2</v>
      </c>
      <c r="AN13" s="14">
        <v>0.12777777777777777</v>
      </c>
      <c r="AO13" s="14">
        <v>0.1125</v>
      </c>
      <c r="AP13" s="14">
        <v>0.12708333333333333</v>
      </c>
      <c r="AQ13" s="14">
        <v>0.19027777777777777</v>
      </c>
      <c r="AR13" s="14">
        <v>0.10347222222222222</v>
      </c>
      <c r="AS13" s="14">
        <v>0.14027777777777778</v>
      </c>
      <c r="AT13" s="14">
        <v>0.1076388888888889</v>
      </c>
      <c r="AU13" s="14">
        <v>7.5694444444444439E-2</v>
      </c>
      <c r="AV13" s="14">
        <v>0.13194444444444445</v>
      </c>
      <c r="AW13" s="14">
        <v>6.3194444444444442E-2</v>
      </c>
      <c r="AX13" s="14">
        <v>6.1805555555555558E-2</v>
      </c>
      <c r="AY13" s="14">
        <v>8.5416666666666669E-2</v>
      </c>
      <c r="AZ13" s="14">
        <v>5.7638888888888892E-2</v>
      </c>
      <c r="BA13" s="14">
        <v>8.819444444444445E-2</v>
      </c>
      <c r="BB13" s="14">
        <v>8.0555555555555561E-2</v>
      </c>
      <c r="BC13" s="13">
        <v>0.17916666666666667</v>
      </c>
      <c r="BD13" s="22">
        <v>0.13472222222222222</v>
      </c>
      <c r="BE13" s="22">
        <v>6.9444444444444448E-2</v>
      </c>
      <c r="BF13" s="13">
        <v>0.1</v>
      </c>
      <c r="BG13" s="13">
        <v>9.2361111111111116E-2</v>
      </c>
      <c r="BH13" s="13">
        <v>3.888888888888889E-2</v>
      </c>
      <c r="BI13" s="13">
        <v>0.10208333333333333</v>
      </c>
      <c r="BJ13" s="22">
        <v>1.9583333333333335E-2</v>
      </c>
      <c r="BK13" s="22">
        <v>1.5659722222222221E-2</v>
      </c>
      <c r="BL13" s="22">
        <v>0.10663194444444445</v>
      </c>
      <c r="BM13" s="13">
        <v>8.6805555555555552E-2</v>
      </c>
      <c r="BN13" s="22">
        <v>7.1527777777777773E-2</v>
      </c>
      <c r="BO13" s="13">
        <v>5.347222222222222E-2</v>
      </c>
      <c r="BP13" s="22">
        <v>4.5138888888888888E-2</v>
      </c>
      <c r="BQ13" s="22">
        <v>4.1238425925925928E-2</v>
      </c>
      <c r="BR13" s="22">
        <v>2.5717592592592594E-2</v>
      </c>
      <c r="BS13" s="22">
        <v>4.1435185185185186E-2</v>
      </c>
      <c r="BT13" s="13">
        <v>7.4305555555555555E-2</v>
      </c>
      <c r="BU13" s="13">
        <v>9.8611111111111108E-2</v>
      </c>
      <c r="BV13" s="13">
        <v>5.6250000000000001E-2</v>
      </c>
      <c r="BW13" s="22">
        <v>8.6805555555555551E-4</v>
      </c>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row>
    <row r="14" spans="1:111" s="24" customFormat="1" x14ac:dyDescent="0.25">
      <c r="A14" s="2"/>
      <c r="B14" s="5" t="s">
        <v>61</v>
      </c>
      <c r="C14" s="14"/>
      <c r="D14" s="14">
        <v>6.5972222222222224E-4</v>
      </c>
      <c r="E14" s="14">
        <v>1.261574074074074E-3</v>
      </c>
      <c r="F14" s="12"/>
      <c r="G14" s="13">
        <v>3.8194444444444448E-2</v>
      </c>
      <c r="H14" s="13">
        <v>4.1666666666666664E-2</v>
      </c>
      <c r="I14" s="14">
        <v>2.4652777777777776E-3</v>
      </c>
      <c r="J14" s="14">
        <v>8.1018518518518516E-4</v>
      </c>
      <c r="K14" s="14">
        <v>3.7037037037037035E-4</v>
      </c>
      <c r="L14" s="14">
        <v>9.2592592592592596E-4</v>
      </c>
      <c r="M14" s="14">
        <v>1.4699074074074074E-3</v>
      </c>
      <c r="N14" s="14">
        <v>9.6064814814814819E-4</v>
      </c>
      <c r="O14" s="14">
        <v>3.9351851851851852E-4</v>
      </c>
      <c r="P14" s="14">
        <v>5.7870370370370367E-4</v>
      </c>
      <c r="Q14" s="14">
        <v>7.291666666666667E-4</v>
      </c>
      <c r="R14" s="14">
        <v>5.7870370370370367E-4</v>
      </c>
      <c r="S14" s="14">
        <v>7.5231481481481482E-4</v>
      </c>
      <c r="T14" s="14">
        <v>3.2407407407407406E-4</v>
      </c>
      <c r="U14" s="14">
        <v>1.5046296296296297E-4</v>
      </c>
      <c r="V14" s="22">
        <v>1.7361111111111112E-4</v>
      </c>
      <c r="W14" s="14">
        <v>4.9768518518518521E-4</v>
      </c>
      <c r="X14" s="14">
        <v>2.4305555555555555E-4</v>
      </c>
      <c r="Y14" s="14">
        <v>7.8703703703703705E-4</v>
      </c>
      <c r="Z14" s="14">
        <v>1.7013888888888888E-3</v>
      </c>
      <c r="AA14" s="14">
        <v>1.0416666666666667E-4</v>
      </c>
      <c r="AB14" s="14">
        <v>1.6203703703703703E-4</v>
      </c>
      <c r="AC14" s="14">
        <v>4.6296296296296298E-4</v>
      </c>
      <c r="AD14" s="14">
        <v>5.7870370370370367E-4</v>
      </c>
      <c r="AE14" s="14">
        <v>3.7037037037037035E-4</v>
      </c>
      <c r="AF14" s="14">
        <v>5.4398148148148144E-4</v>
      </c>
      <c r="AG14" s="14">
        <v>1.3888888888888889E-3</v>
      </c>
      <c r="AH14" s="14">
        <v>2.4652777777777776E-3</v>
      </c>
      <c r="AI14" s="14">
        <v>3.8194444444444446E-4</v>
      </c>
      <c r="AJ14" s="14">
        <v>5.0925925925925921E-4</v>
      </c>
      <c r="AK14" s="14">
        <v>1.0416666666666667E-4</v>
      </c>
      <c r="AL14" s="14">
        <v>6.5972222222222224E-4</v>
      </c>
      <c r="AM14" s="14">
        <v>3.7037037037037035E-4</v>
      </c>
      <c r="AN14" s="14">
        <v>1.1111111111111111E-3</v>
      </c>
      <c r="AO14" s="14">
        <v>1.6666666666666668E-3</v>
      </c>
      <c r="AP14" s="14">
        <v>1.4583333333333334E-3</v>
      </c>
      <c r="AQ14" s="14">
        <v>1.3657407407407407E-3</v>
      </c>
      <c r="AR14" s="14">
        <v>3.9351851851851852E-4</v>
      </c>
      <c r="AS14" s="14">
        <v>5.6712962962962967E-4</v>
      </c>
      <c r="AT14" s="14">
        <v>6.2500000000000001E-4</v>
      </c>
      <c r="AU14" s="14">
        <v>3.5879629629629629E-4</v>
      </c>
      <c r="AV14" s="14">
        <v>3.0092592592592595E-4</v>
      </c>
      <c r="AW14" s="14">
        <v>5.7870370370370367E-4</v>
      </c>
      <c r="AX14" s="22">
        <v>1.5046296296296297E-4</v>
      </c>
      <c r="AY14" s="14">
        <v>6.018518518518519E-4</v>
      </c>
      <c r="AZ14" s="14">
        <v>9.2592592592592588E-5</v>
      </c>
      <c r="BA14" s="14">
        <v>2.7777777777777778E-4</v>
      </c>
      <c r="BB14" s="14">
        <v>2.4305555555555555E-4</v>
      </c>
      <c r="BC14" s="22">
        <v>4.9768518518518521E-4</v>
      </c>
      <c r="BD14" s="22">
        <v>3.7037037037037035E-4</v>
      </c>
      <c r="BE14" s="22">
        <v>1.4467592592592592E-3</v>
      </c>
      <c r="BF14" s="22">
        <v>2.0833333333333333E-3</v>
      </c>
      <c r="BG14" s="22">
        <v>1.2152777777777778E-3</v>
      </c>
      <c r="BH14" s="22">
        <v>1.1574074074074073E-3</v>
      </c>
      <c r="BI14" s="22">
        <v>6.7129629629629625E-4</v>
      </c>
      <c r="BJ14" s="22">
        <v>5.0925925925925921E-4</v>
      </c>
      <c r="BK14" s="22">
        <v>6.7129629629629625E-4</v>
      </c>
      <c r="BL14" s="22">
        <v>9.1435185185185185E-4</v>
      </c>
      <c r="BM14" s="22">
        <v>3.5879629629629629E-4</v>
      </c>
      <c r="BN14" s="22">
        <v>5.3240740740740744E-4</v>
      </c>
      <c r="BO14" s="22">
        <v>1.4814814814814814E-3</v>
      </c>
      <c r="BP14" s="22">
        <v>6.2500000000000001E-4</v>
      </c>
      <c r="BQ14" s="22">
        <v>6.134259259259259E-4</v>
      </c>
      <c r="BR14" s="22">
        <v>3.4722222222222224E-4</v>
      </c>
      <c r="BS14" s="22">
        <v>3.2870370370370371E-3</v>
      </c>
      <c r="BT14" s="22">
        <v>1.7476851851851852E-3</v>
      </c>
      <c r="BU14" s="22">
        <v>2.4189814814814816E-3</v>
      </c>
      <c r="BV14" s="22">
        <v>1.3541666666666667E-3</v>
      </c>
      <c r="BW14" s="22">
        <v>3.9351851851851852E-4</v>
      </c>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row>
    <row r="15" spans="1:111" s="24" customFormat="1" x14ac:dyDescent="0.25">
      <c r="A15" s="2"/>
      <c r="B15" s="5" t="s">
        <v>91</v>
      </c>
      <c r="C15" s="14">
        <v>7.9861111111111116E-4</v>
      </c>
      <c r="D15" s="14">
        <v>3.7037037037037035E-4</v>
      </c>
      <c r="E15" s="14">
        <v>2.5925925925925925E-3</v>
      </c>
      <c r="F15" s="14">
        <v>1.6203703703703703E-3</v>
      </c>
      <c r="G15" s="13">
        <v>4.3749999999999997E-2</v>
      </c>
      <c r="H15" s="13">
        <v>5.5555555555555558E-3</v>
      </c>
      <c r="I15" s="14">
        <v>1.25E-3</v>
      </c>
      <c r="J15" s="14">
        <v>2.4305555555555555E-4</v>
      </c>
      <c r="K15" s="14">
        <v>3.7037037037037035E-4</v>
      </c>
      <c r="L15" s="14" t="s">
        <v>117</v>
      </c>
      <c r="M15" s="14">
        <v>3.1250000000000002E-3</v>
      </c>
      <c r="N15" s="14">
        <v>4.2824074074074075E-4</v>
      </c>
      <c r="O15" s="14">
        <v>2.4305555555555555E-4</v>
      </c>
      <c r="P15" s="14">
        <v>3.7037037037037035E-4</v>
      </c>
      <c r="Q15" s="14">
        <v>9.2592592592592588E-5</v>
      </c>
      <c r="R15" s="14">
        <v>1.4467592592592592E-3</v>
      </c>
      <c r="S15" s="14">
        <v>1.3888888888888889E-3</v>
      </c>
      <c r="T15" s="14">
        <v>5.6712962962962967E-4</v>
      </c>
      <c r="U15" s="14">
        <v>2.0833333333333335E-4</v>
      </c>
      <c r="V15" s="14">
        <v>2.199074074074074E-4</v>
      </c>
      <c r="W15" s="14">
        <v>3.0092592592592595E-4</v>
      </c>
      <c r="X15" s="14">
        <v>6.4814814814814813E-4</v>
      </c>
      <c r="Y15" s="14">
        <v>9.4907407407407408E-4</v>
      </c>
      <c r="Z15" s="14">
        <v>1.8055555555555555E-3</v>
      </c>
      <c r="AA15" s="14"/>
      <c r="AB15" s="14"/>
      <c r="AC15" s="14">
        <v>3.4722222222222222E-5</v>
      </c>
      <c r="AD15" s="14">
        <v>4.6296296296296294E-5</v>
      </c>
      <c r="AE15" s="14">
        <v>6.2500000000000001E-4</v>
      </c>
      <c r="AF15" s="14">
        <v>2.3148148148148147E-5</v>
      </c>
      <c r="AG15" s="14">
        <v>5.4745370370370373E-3</v>
      </c>
      <c r="AH15" s="14"/>
      <c r="AI15" s="14"/>
      <c r="AJ15" s="14"/>
      <c r="AK15" s="14">
        <v>3.4722222222222222E-5</v>
      </c>
      <c r="AL15" s="14"/>
      <c r="AM15" s="14">
        <v>2.5347222222222221E-3</v>
      </c>
      <c r="AN15" s="14">
        <v>1.5046296296296296E-3</v>
      </c>
      <c r="AO15" s="14">
        <v>5.3009259259259259E-3</v>
      </c>
      <c r="AP15" s="14">
        <v>3.0208333333333333E-3</v>
      </c>
      <c r="AQ15" s="14"/>
      <c r="AR15" s="14"/>
      <c r="AS15" s="14">
        <v>1.0763888888888889E-3</v>
      </c>
      <c r="AT15" s="14">
        <v>5.4398148148148144E-4</v>
      </c>
      <c r="AU15" s="14">
        <v>7.8703703703703705E-4</v>
      </c>
      <c r="AV15" s="14">
        <v>0</v>
      </c>
      <c r="AW15" s="14">
        <v>5.7870370370370367E-4</v>
      </c>
      <c r="AX15" s="14">
        <v>2.5578703703703705E-3</v>
      </c>
      <c r="AY15" s="14">
        <v>1.8518518518518518E-4</v>
      </c>
      <c r="AZ15" s="14">
        <v>2.3263888888888887E-3</v>
      </c>
      <c r="BA15" s="14"/>
      <c r="BB15" s="14"/>
      <c r="BC15" s="12"/>
      <c r="BD15" s="22">
        <v>6.8287037037037036E-4</v>
      </c>
      <c r="BE15" s="22">
        <v>2.5925925925925925E-3</v>
      </c>
      <c r="BF15" s="22">
        <v>5.9027777777777778E-4</v>
      </c>
      <c r="BG15" s="22">
        <v>3.7037037037037035E-4</v>
      </c>
      <c r="BH15" s="22">
        <v>1.5625000000000001E-3</v>
      </c>
      <c r="BI15" s="22">
        <v>1.2268518518518518E-3</v>
      </c>
      <c r="BJ15" s="22">
        <v>1.2268518518518518E-3</v>
      </c>
      <c r="BK15" s="22">
        <v>2.4189814814814816E-3</v>
      </c>
      <c r="BL15" s="22">
        <v>4.2824074074074075E-4</v>
      </c>
      <c r="BM15" s="22">
        <v>7.0601851851851847E-4</v>
      </c>
      <c r="BN15" s="22">
        <v>2.5925925925925925E-3</v>
      </c>
      <c r="BO15" s="22">
        <v>9.1435185185185185E-4</v>
      </c>
      <c r="BP15" s="22">
        <v>5.7870370370370373E-5</v>
      </c>
      <c r="BQ15" s="22">
        <v>3.2407407407407406E-3</v>
      </c>
      <c r="BR15" s="22">
        <v>6.7129629629629625E-4</v>
      </c>
      <c r="BS15" s="22">
        <v>6.7476851851851856E-3</v>
      </c>
      <c r="BT15" s="22">
        <v>4.2708333333333331E-3</v>
      </c>
      <c r="BU15" s="22">
        <v>8.4490740740740739E-4</v>
      </c>
      <c r="BV15" s="22">
        <v>2.6620370370370372E-4</v>
      </c>
      <c r="BW15" s="22">
        <v>2.3148148148148149E-4</v>
      </c>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row>
    <row r="16" spans="1:111" s="24" customFormat="1" x14ac:dyDescent="0.25">
      <c r="A16" s="2"/>
      <c r="B16" s="5" t="s">
        <v>96</v>
      </c>
      <c r="C16" s="14">
        <v>3.4722222222222222E-5</v>
      </c>
      <c r="D16" s="14">
        <v>8.2175925925925927E-4</v>
      </c>
      <c r="E16" s="14">
        <v>1.5509259259259259E-3</v>
      </c>
      <c r="F16" s="14">
        <v>1.4814814814814814E-3</v>
      </c>
      <c r="G16" s="12"/>
      <c r="H16" s="12"/>
      <c r="I16" s="14" t="s">
        <v>117</v>
      </c>
      <c r="J16" s="14">
        <v>7.1759259259259259E-4</v>
      </c>
      <c r="K16" s="14" t="s">
        <v>117</v>
      </c>
      <c r="L16" s="14" t="s">
        <v>117</v>
      </c>
      <c r="M16" s="14">
        <v>1.6666666666666668E-3</v>
      </c>
      <c r="N16" s="14">
        <v>8.3333333333333339E-4</v>
      </c>
      <c r="O16" s="14" t="s">
        <v>117</v>
      </c>
      <c r="P16" s="14">
        <v>3.4722222222222224E-4</v>
      </c>
      <c r="Q16" s="14">
        <v>4.1666666666666669E-4</v>
      </c>
      <c r="R16" s="14"/>
      <c r="S16" s="14" t="s">
        <v>117</v>
      </c>
      <c r="T16" s="14">
        <v>1.1574074074074073E-5</v>
      </c>
      <c r="U16" s="14">
        <v>4.2824074074074075E-4</v>
      </c>
      <c r="V16" s="14">
        <v>4.0509259259259258E-4</v>
      </c>
      <c r="W16" s="14">
        <v>2.6620370370370372E-4</v>
      </c>
      <c r="X16" s="14"/>
      <c r="Y16" s="14"/>
      <c r="Z16" s="14">
        <v>4.8611111111111112E-3</v>
      </c>
      <c r="AA16" s="14"/>
      <c r="AB16" s="14"/>
      <c r="AC16" s="14"/>
      <c r="AD16" s="14"/>
      <c r="AE16" s="14"/>
      <c r="AF16" s="14"/>
      <c r="AG16" s="14">
        <v>2.3148148148148147E-5</v>
      </c>
      <c r="AH16" s="14"/>
      <c r="AI16" s="14"/>
      <c r="AJ16" s="14"/>
      <c r="AK16" s="14">
        <v>9.2592592592592588E-5</v>
      </c>
      <c r="AL16" s="14"/>
      <c r="AM16" s="14"/>
      <c r="AN16" s="14">
        <v>4.5138888888888887E-4</v>
      </c>
      <c r="AO16" s="14">
        <v>2.0833333333333335E-4</v>
      </c>
      <c r="AP16" s="14"/>
      <c r="AQ16" s="14">
        <v>4.6296296296296294E-5</v>
      </c>
      <c r="AR16" s="14">
        <v>4.5138888888888885E-3</v>
      </c>
      <c r="AS16" s="14"/>
      <c r="AT16" s="14"/>
      <c r="AU16" s="14"/>
      <c r="AV16" s="14"/>
      <c r="AW16" s="14"/>
      <c r="AX16" s="14"/>
      <c r="AY16" s="14"/>
      <c r="AZ16" s="14"/>
      <c r="BA16" s="14"/>
      <c r="BB16" s="14"/>
      <c r="BC16" s="12"/>
      <c r="BD16" s="12"/>
      <c r="BE16" s="22">
        <v>1.4583333333333334E-3</v>
      </c>
      <c r="BF16" s="22">
        <v>8.2175925925925927E-4</v>
      </c>
      <c r="BG16" s="22">
        <v>1.6898148148148148E-3</v>
      </c>
      <c r="BH16" s="22">
        <v>2.3148148148148147E-5</v>
      </c>
      <c r="BI16" s="22">
        <v>3.1250000000000001E-4</v>
      </c>
      <c r="BJ16" s="22">
        <v>5.4050925925925924E-3</v>
      </c>
      <c r="BK16" s="22">
        <v>8.2175925925925927E-4</v>
      </c>
      <c r="BL16" s="22">
        <v>1.1574074074074075E-4</v>
      </c>
      <c r="BM16" s="12"/>
      <c r="BN16" s="12"/>
      <c r="BO16" s="22">
        <v>3.4722222222222222E-5</v>
      </c>
      <c r="BP16" s="22">
        <v>8.1018518518518516E-5</v>
      </c>
      <c r="BQ16" s="22">
        <v>7.291666666666667E-4</v>
      </c>
      <c r="BR16" s="12"/>
      <c r="BS16" s="22">
        <v>1.5046296296296297E-4</v>
      </c>
      <c r="BT16" s="22">
        <v>4.6296296296296294E-5</v>
      </c>
      <c r="BU16" s="22">
        <v>9.2592592592592596E-4</v>
      </c>
      <c r="BV16" s="22">
        <v>4.0509259259259258E-4</v>
      </c>
      <c r="BW16" s="22">
        <v>4.6296296296296294E-5</v>
      </c>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row>
    <row r="17" spans="1:107" s="24" customFormat="1" x14ac:dyDescent="0.25">
      <c r="A17" s="2"/>
      <c r="B17" s="5" t="s">
        <v>101</v>
      </c>
      <c r="C17" s="14">
        <v>3.1481481481481482E-3</v>
      </c>
      <c r="D17" s="14"/>
      <c r="E17" s="14">
        <v>2.0949074074074073E-3</v>
      </c>
      <c r="F17" s="14">
        <v>1.0300925925925926E-3</v>
      </c>
      <c r="G17" s="12"/>
      <c r="H17" s="12"/>
      <c r="I17" s="14">
        <v>6.2500000000000001E-4</v>
      </c>
      <c r="J17" s="14">
        <v>6.134259259259259E-4</v>
      </c>
      <c r="K17" s="14" t="s">
        <v>117</v>
      </c>
      <c r="L17" s="14">
        <v>0</v>
      </c>
      <c r="M17" s="14" t="s">
        <v>117</v>
      </c>
      <c r="N17" s="14" t="s">
        <v>117</v>
      </c>
      <c r="O17" s="14" t="s">
        <v>117</v>
      </c>
      <c r="P17" s="14">
        <v>2.5462962962962961E-4</v>
      </c>
      <c r="Q17" s="14">
        <v>5.5555555555555556E-4</v>
      </c>
      <c r="R17" s="14"/>
      <c r="S17" s="14">
        <v>4.6296296296296294E-5</v>
      </c>
      <c r="T17" s="14">
        <v>3.4027777777777776E-3</v>
      </c>
      <c r="U17" s="14">
        <v>6.9791666666666665E-3</v>
      </c>
      <c r="V17" s="14" t="s">
        <v>117</v>
      </c>
      <c r="W17" s="14">
        <v>3.5879629629629629E-4</v>
      </c>
      <c r="X17" s="14">
        <v>4.5138888888888887E-4</v>
      </c>
      <c r="Y17" s="14">
        <v>8.9120370370370373E-4</v>
      </c>
      <c r="Z17" s="14">
        <v>1.1574074074074075E-4</v>
      </c>
      <c r="AA17" s="14"/>
      <c r="AB17" s="14"/>
      <c r="AC17" s="14">
        <v>1.8749999999999999E-3</v>
      </c>
      <c r="AD17" s="14">
        <v>8.4490740740740739E-4</v>
      </c>
      <c r="AE17" s="14">
        <v>2.4537037037037036E-3</v>
      </c>
      <c r="AF17" s="14"/>
      <c r="AG17" s="14"/>
      <c r="AH17" s="14"/>
      <c r="AI17" s="14"/>
      <c r="AJ17" s="14"/>
      <c r="AK17" s="14"/>
      <c r="AL17" s="14"/>
      <c r="AM17" s="14"/>
      <c r="AN17" s="14"/>
      <c r="AO17" s="14"/>
      <c r="AP17" s="14"/>
      <c r="AQ17" s="14">
        <v>6.9444444444444444E-5</v>
      </c>
      <c r="AR17" s="14"/>
      <c r="AS17" s="14"/>
      <c r="AT17" s="14"/>
      <c r="AU17" s="14"/>
      <c r="AV17" s="14"/>
      <c r="AW17" s="14"/>
      <c r="AX17" s="14"/>
      <c r="AY17" s="14"/>
      <c r="AZ17" s="14"/>
      <c r="BA17" s="14"/>
      <c r="BB17" s="14"/>
      <c r="BC17" s="12"/>
      <c r="BD17" s="12"/>
      <c r="BE17" s="22">
        <v>1.1574074074074073E-5</v>
      </c>
      <c r="BF17" s="22">
        <v>2.3148148148148147E-5</v>
      </c>
      <c r="BG17" s="22">
        <v>1.1574074074074073E-5</v>
      </c>
      <c r="BH17" s="12"/>
      <c r="BI17" s="22">
        <v>2.3148148148148149E-4</v>
      </c>
      <c r="BJ17" s="12"/>
      <c r="BK17" s="22">
        <v>1.1574074074074073E-5</v>
      </c>
      <c r="BL17" s="22">
        <v>5.7870370370370373E-5</v>
      </c>
      <c r="BM17" s="12"/>
      <c r="BN17" s="12"/>
      <c r="BO17" s="12"/>
      <c r="BP17" s="12"/>
      <c r="BQ17" s="12"/>
      <c r="BR17" s="12"/>
      <c r="BS17" s="22">
        <v>4.0509259259259258E-4</v>
      </c>
      <c r="BT17" s="12"/>
      <c r="BU17" s="22">
        <v>9.2592592592592588E-5</v>
      </c>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row>
    <row r="18" spans="1:107" s="24" customFormat="1" x14ac:dyDescent="0.25">
      <c r="A18" s="2"/>
      <c r="B18" s="5" t="s">
        <v>83</v>
      </c>
      <c r="C18" s="14">
        <v>1.3888888888888889E-4</v>
      </c>
      <c r="D18" s="14"/>
      <c r="E18" s="14"/>
      <c r="F18" s="14"/>
      <c r="G18" s="12"/>
      <c r="H18" s="12"/>
      <c r="I18" s="14" t="s">
        <v>117</v>
      </c>
      <c r="J18" s="14">
        <v>0</v>
      </c>
      <c r="K18" s="14" t="s">
        <v>117</v>
      </c>
      <c r="L18" s="14">
        <v>0</v>
      </c>
      <c r="M18" s="14">
        <v>2.3148148148148149E-4</v>
      </c>
      <c r="N18" s="14">
        <v>1.1574074074074073E-5</v>
      </c>
      <c r="O18" s="14" t="s">
        <v>117</v>
      </c>
      <c r="P18" s="14">
        <v>1.3888888888888889E-4</v>
      </c>
      <c r="Q18" s="14">
        <v>1.6203703703703703E-4</v>
      </c>
      <c r="R18" s="14">
        <v>4.6296296296296298E-4</v>
      </c>
      <c r="S18" s="14">
        <v>1.3888888888888889E-4</v>
      </c>
      <c r="T18" s="14">
        <v>6.9444444444444444E-5</v>
      </c>
      <c r="U18" s="14">
        <v>4.6296296296296294E-5</v>
      </c>
      <c r="V18" s="14" t="s">
        <v>117</v>
      </c>
      <c r="W18" s="14"/>
      <c r="X18" s="14">
        <v>4.5138888888888887E-4</v>
      </c>
      <c r="Y18" s="14"/>
      <c r="Z18" s="14"/>
      <c r="AA18" s="14"/>
      <c r="AB18" s="14"/>
      <c r="AC18" s="14"/>
      <c r="AD18" s="14"/>
      <c r="AE18" s="14"/>
      <c r="AF18" s="14"/>
      <c r="AG18" s="14"/>
      <c r="AH18" s="14">
        <v>0</v>
      </c>
      <c r="AI18" s="14"/>
      <c r="AJ18" s="14"/>
      <c r="AK18" s="14"/>
      <c r="AL18" s="14"/>
      <c r="AM18" s="14"/>
      <c r="AN18" s="14">
        <v>3.4722222222222222E-5</v>
      </c>
      <c r="AO18" s="14">
        <v>3.3564814814814812E-4</v>
      </c>
      <c r="AP18" s="14"/>
      <c r="AQ18" s="14"/>
      <c r="AR18" s="14"/>
      <c r="AS18" s="14"/>
      <c r="AT18" s="14"/>
      <c r="AU18" s="14">
        <v>2.0833333333333335E-4</v>
      </c>
      <c r="AV18" s="14"/>
      <c r="AW18" s="14"/>
      <c r="AX18" s="14"/>
      <c r="AY18" s="14"/>
      <c r="AZ18" s="14">
        <v>1.4004629629629629E-3</v>
      </c>
      <c r="BA18" s="14"/>
      <c r="BB18" s="14"/>
      <c r="BC18" s="12"/>
      <c r="BD18" s="12"/>
      <c r="BE18" s="22">
        <v>3.4722222222222222E-5</v>
      </c>
      <c r="BF18" s="22">
        <v>2.3148148148148147E-5</v>
      </c>
      <c r="BG18" s="22">
        <v>3.9351851851851852E-4</v>
      </c>
      <c r="BH18" s="22">
        <v>8.1018518518518516E-4</v>
      </c>
      <c r="BI18" s="22">
        <v>1.8518518518518518E-4</v>
      </c>
      <c r="BJ18" s="22">
        <v>1.8518518518518519E-3</v>
      </c>
      <c r="BK18" s="22">
        <v>5.7870370370370367E-4</v>
      </c>
      <c r="BL18" s="12"/>
      <c r="BM18" s="12"/>
      <c r="BN18" s="12">
        <v>0</v>
      </c>
      <c r="BO18" s="12"/>
      <c r="BP18" s="22">
        <v>3.2407407407407406E-4</v>
      </c>
      <c r="BQ18" s="22">
        <v>1.1574074074074073E-5</v>
      </c>
      <c r="BR18" s="12"/>
      <c r="BS18" s="22">
        <v>2.4305555555555555E-4</v>
      </c>
      <c r="BT18" s="22">
        <v>1.5046296296296297E-4</v>
      </c>
      <c r="BU18" s="22">
        <v>2.5462962962962961E-4</v>
      </c>
      <c r="BV18" s="22">
        <v>2.7777777777777778E-4</v>
      </c>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row>
    <row r="19" spans="1:107" s="24" customFormat="1" x14ac:dyDescent="0.25">
      <c r="A19" s="2"/>
      <c r="B19" s="4" t="s">
        <v>109</v>
      </c>
      <c r="C19" s="12"/>
      <c r="D19" s="12"/>
      <c r="E19" s="12"/>
      <c r="F19" s="12"/>
      <c r="G19" s="12"/>
      <c r="H19" s="12"/>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2"/>
      <c r="CZ19" s="12"/>
      <c r="DA19" s="12"/>
      <c r="DB19" s="12"/>
    </row>
    <row r="20" spans="1:107" x14ac:dyDescent="0.25">
      <c r="A20" s="2"/>
      <c r="B20" s="5" t="s">
        <v>203</v>
      </c>
      <c r="C20" s="22">
        <f t="shared" ref="C20:AH20" si="0">SUM(C8:C19)</f>
        <v>6.7708333333333327E-3</v>
      </c>
      <c r="D20" s="22">
        <f t="shared" si="0"/>
        <v>1.2962962962962964E-2</v>
      </c>
      <c r="E20" s="22">
        <f t="shared" si="0"/>
        <v>2.3506944444444445E-2</v>
      </c>
      <c r="F20" s="22">
        <f t="shared" si="0"/>
        <v>1.502314814814815E-2</v>
      </c>
      <c r="G20" s="22">
        <f t="shared" si="0"/>
        <v>1.5756944444444443</v>
      </c>
      <c r="H20" s="22">
        <f t="shared" si="0"/>
        <v>3.1027777777777779</v>
      </c>
      <c r="I20" s="22">
        <f t="shared" si="0"/>
        <v>1.6273148148148151E-2</v>
      </c>
      <c r="J20" s="22">
        <f t="shared" si="0"/>
        <v>2.22337962962963E-2</v>
      </c>
      <c r="K20" s="22">
        <f t="shared" si="0"/>
        <v>3.410879629629629E-2</v>
      </c>
      <c r="L20" s="22">
        <f t="shared" si="0"/>
        <v>2.0173611111111114E-2</v>
      </c>
      <c r="M20" s="22">
        <f t="shared" si="0"/>
        <v>5.2222222222222218E-2</v>
      </c>
      <c r="N20" s="22">
        <f t="shared" si="0"/>
        <v>2.7766203703703699E-2</v>
      </c>
      <c r="O20" s="22">
        <f t="shared" si="0"/>
        <v>1.1238425925925926E-2</v>
      </c>
      <c r="P20" s="22">
        <f t="shared" si="0"/>
        <v>3.5092592592592599E-2</v>
      </c>
      <c r="Q20" s="22">
        <f t="shared" si="0"/>
        <v>6.9733796296296308E-2</v>
      </c>
      <c r="R20" s="22">
        <f t="shared" si="0"/>
        <v>0.12028935185185184</v>
      </c>
      <c r="S20" s="22">
        <f t="shared" si="0"/>
        <v>0.28934027777777782</v>
      </c>
      <c r="T20" s="22">
        <f t="shared" si="0"/>
        <v>0.20422453703703708</v>
      </c>
      <c r="U20" s="22">
        <f t="shared" si="0"/>
        <v>0.1050925925925926</v>
      </c>
      <c r="V20" s="22">
        <f t="shared" si="0"/>
        <v>5.710648148148148E-2</v>
      </c>
      <c r="W20" s="22">
        <f t="shared" si="0"/>
        <v>0.11125</v>
      </c>
      <c r="X20" s="22">
        <f t="shared" si="0"/>
        <v>0.10199074074074074</v>
      </c>
      <c r="Y20" s="22">
        <f t="shared" si="0"/>
        <v>1.996527777777778E-2</v>
      </c>
      <c r="Z20" s="22">
        <f t="shared" si="0"/>
        <v>0.14535879629629631</v>
      </c>
      <c r="AA20" s="22">
        <f t="shared" si="0"/>
        <v>0.13848379629629629</v>
      </c>
      <c r="AB20" s="22">
        <f t="shared" si="0"/>
        <v>9.7222222222222224E-2</v>
      </c>
      <c r="AC20" s="22">
        <f t="shared" si="0"/>
        <v>0.12194444444444444</v>
      </c>
      <c r="AD20" s="22">
        <f t="shared" si="0"/>
        <v>6.8391203703703704E-2</v>
      </c>
      <c r="AE20" s="22">
        <f t="shared" si="0"/>
        <v>8.7071759259259265E-2</v>
      </c>
      <c r="AF20" s="22">
        <f t="shared" si="0"/>
        <v>0.15071759259259263</v>
      </c>
      <c r="AG20" s="22">
        <f t="shared" si="0"/>
        <v>0.32770833333333327</v>
      </c>
      <c r="AH20" s="22">
        <f t="shared" si="0"/>
        <v>0.20856481481481481</v>
      </c>
      <c r="AI20" s="22">
        <f t="shared" ref="AI20:BN20" si="1">SUM(AI8:AI19)</f>
        <v>0.25344907407407408</v>
      </c>
      <c r="AJ20" s="22">
        <f t="shared" si="1"/>
        <v>0.1370949074074074</v>
      </c>
      <c r="AK20" s="22">
        <f t="shared" si="1"/>
        <v>9.6307870370370377E-2</v>
      </c>
      <c r="AL20" s="22">
        <f t="shared" si="1"/>
        <v>0.14972222222222223</v>
      </c>
      <c r="AM20" s="22">
        <f t="shared" si="1"/>
        <v>9.4305555555555545E-2</v>
      </c>
      <c r="AN20" s="22">
        <f t="shared" si="1"/>
        <v>0.1557523148148148</v>
      </c>
      <c r="AO20" s="22">
        <f t="shared" si="1"/>
        <v>0.14225694444444448</v>
      </c>
      <c r="AP20" s="22">
        <f t="shared" si="1"/>
        <v>0.14858796296296298</v>
      </c>
      <c r="AQ20" s="22">
        <f t="shared" si="1"/>
        <v>0.20677083333333335</v>
      </c>
      <c r="AR20" s="22">
        <f t="shared" si="1"/>
        <v>0.13428240740740741</v>
      </c>
      <c r="AS20" s="22">
        <f t="shared" si="1"/>
        <v>0.15724537037037037</v>
      </c>
      <c r="AT20" s="22">
        <f t="shared" si="1"/>
        <v>0.11462962962962964</v>
      </c>
      <c r="AU20" s="22">
        <f t="shared" si="1"/>
        <v>8.2094907407407408E-2</v>
      </c>
      <c r="AV20" s="22">
        <f t="shared" si="1"/>
        <v>0.13461805555555556</v>
      </c>
      <c r="AW20" s="22">
        <f t="shared" si="1"/>
        <v>7.0636574074074074E-2</v>
      </c>
      <c r="AX20" s="22">
        <f t="shared" si="1"/>
        <v>9.8692129629629644E-2</v>
      </c>
      <c r="AY20" s="22">
        <f t="shared" si="1"/>
        <v>0.14542824074074073</v>
      </c>
      <c r="AZ20" s="22">
        <f t="shared" si="1"/>
        <v>7.1446759259259265E-2</v>
      </c>
      <c r="BA20" s="22">
        <f t="shared" si="1"/>
        <v>9.4953703703703707E-2</v>
      </c>
      <c r="BB20" s="22">
        <f t="shared" si="1"/>
        <v>8.711805555555556E-2</v>
      </c>
      <c r="BC20" s="22">
        <f t="shared" si="1"/>
        <v>0.19050925925925927</v>
      </c>
      <c r="BD20" s="22">
        <f t="shared" si="1"/>
        <v>0.14564814814814817</v>
      </c>
      <c r="BE20" s="22">
        <f t="shared" si="1"/>
        <v>0.11425925925925928</v>
      </c>
      <c r="BF20" s="22">
        <f t="shared" si="1"/>
        <v>0.12966435185185188</v>
      </c>
      <c r="BG20" s="22">
        <f t="shared" si="1"/>
        <v>0.11275462962962962</v>
      </c>
      <c r="BH20" s="22">
        <f t="shared" si="1"/>
        <v>7.6481481481481484E-2</v>
      </c>
      <c r="BI20" s="22">
        <f t="shared" si="1"/>
        <v>0.11894675925925927</v>
      </c>
      <c r="BJ20" s="22">
        <f t="shared" si="1"/>
        <v>4.1273148148148156E-2</v>
      </c>
      <c r="BK20" s="22">
        <f t="shared" si="1"/>
        <v>4.5902777777777772E-2</v>
      </c>
      <c r="BL20" s="22">
        <f t="shared" si="1"/>
        <v>0.14993055555555557</v>
      </c>
      <c r="BM20" s="22">
        <f t="shared" si="1"/>
        <v>0.11178240740740741</v>
      </c>
      <c r="BN20" s="22">
        <f t="shared" si="1"/>
        <v>8.5601851851851846E-2</v>
      </c>
      <c r="BO20" s="22">
        <f t="shared" ref="BO20:CT20" si="2">SUM(BO8:BO19)</f>
        <v>7.013888888888889E-2</v>
      </c>
      <c r="BP20" s="22">
        <f t="shared" si="2"/>
        <v>5.6076388888888891E-2</v>
      </c>
      <c r="BQ20" s="22">
        <f t="shared" si="2"/>
        <v>6.729166666666668E-2</v>
      </c>
      <c r="BR20" s="22">
        <f t="shared" si="2"/>
        <v>3.2800925925925928E-2</v>
      </c>
      <c r="BS20" s="22">
        <f t="shared" si="2"/>
        <v>9.1099537037037034E-2</v>
      </c>
      <c r="BT20" s="22">
        <f t="shared" si="2"/>
        <v>9.7407407407407401E-2</v>
      </c>
      <c r="BU20" s="22">
        <f t="shared" si="2"/>
        <v>0.12636574074074072</v>
      </c>
      <c r="BV20" s="22">
        <f t="shared" si="2"/>
        <v>7.778935185185186E-2</v>
      </c>
      <c r="BW20" s="22">
        <f t="shared" si="2"/>
        <v>3.9699074074074072E-3</v>
      </c>
      <c r="BX20" s="22">
        <f t="shared" si="2"/>
        <v>0</v>
      </c>
      <c r="BY20" s="22">
        <f t="shared" si="2"/>
        <v>0</v>
      </c>
      <c r="BZ20" s="22">
        <f t="shared" si="2"/>
        <v>0</v>
      </c>
      <c r="CA20" s="22">
        <f t="shared" si="2"/>
        <v>0</v>
      </c>
      <c r="CB20" s="22">
        <f t="shared" si="2"/>
        <v>0</v>
      </c>
      <c r="CC20" s="22">
        <f t="shared" si="2"/>
        <v>0</v>
      </c>
      <c r="CD20" s="22">
        <f t="shared" si="2"/>
        <v>0</v>
      </c>
      <c r="CE20" s="22">
        <f t="shared" si="2"/>
        <v>0</v>
      </c>
      <c r="CF20" s="22">
        <f t="shared" si="2"/>
        <v>0</v>
      </c>
      <c r="CG20" s="22">
        <f t="shared" si="2"/>
        <v>0</v>
      </c>
      <c r="CH20" s="22">
        <f t="shared" si="2"/>
        <v>0</v>
      </c>
      <c r="CI20" s="22">
        <f t="shared" si="2"/>
        <v>0</v>
      </c>
      <c r="CJ20" s="22">
        <f t="shared" si="2"/>
        <v>0</v>
      </c>
      <c r="CK20" s="22">
        <f t="shared" si="2"/>
        <v>0</v>
      </c>
      <c r="CL20" s="22">
        <f t="shared" si="2"/>
        <v>0</v>
      </c>
      <c r="CM20" s="22">
        <f t="shared" si="2"/>
        <v>0</v>
      </c>
      <c r="CN20" s="22">
        <f t="shared" si="2"/>
        <v>0</v>
      </c>
      <c r="CO20" s="22">
        <f t="shared" si="2"/>
        <v>0</v>
      </c>
      <c r="CP20" s="22">
        <f t="shared" si="2"/>
        <v>0</v>
      </c>
      <c r="CQ20" s="22">
        <f t="shared" si="2"/>
        <v>0</v>
      </c>
      <c r="CR20" s="22">
        <f t="shared" si="2"/>
        <v>0</v>
      </c>
      <c r="CS20" s="22">
        <f t="shared" si="2"/>
        <v>0</v>
      </c>
      <c r="CT20" s="22">
        <f t="shared" si="2"/>
        <v>0</v>
      </c>
      <c r="CU20" s="22">
        <f t="shared" ref="CU20:DB20" si="3">SUM(CU8:CU19)</f>
        <v>0</v>
      </c>
      <c r="CV20" s="22">
        <f t="shared" si="3"/>
        <v>0</v>
      </c>
      <c r="CW20" s="22">
        <f t="shared" si="3"/>
        <v>0</v>
      </c>
      <c r="CX20" s="22">
        <f t="shared" si="3"/>
        <v>0</v>
      </c>
      <c r="CY20" s="22">
        <f t="shared" si="3"/>
        <v>0</v>
      </c>
      <c r="CZ20" s="22">
        <f t="shared" si="3"/>
        <v>0</v>
      </c>
      <c r="DA20" s="22">
        <f t="shared" si="3"/>
        <v>0</v>
      </c>
      <c r="DB20" s="22">
        <f t="shared" si="3"/>
        <v>0</v>
      </c>
    </row>
    <row r="21" spans="1:107" x14ac:dyDescent="0.25">
      <c r="A21" s="2" t="s">
        <v>204</v>
      </c>
      <c r="B21" s="4" t="s">
        <v>205</v>
      </c>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row>
    <row r="22" spans="1:107" x14ac:dyDescent="0.25">
      <c r="A22" s="2"/>
      <c r="B22" s="5" t="s">
        <v>105</v>
      </c>
      <c r="C22" s="16">
        <v>0</v>
      </c>
      <c r="D22" s="16">
        <v>6</v>
      </c>
      <c r="E22" s="16">
        <v>10</v>
      </c>
      <c r="F22" s="16">
        <v>10</v>
      </c>
      <c r="G22" s="12">
        <v>29</v>
      </c>
      <c r="H22" s="12">
        <v>27</v>
      </c>
      <c r="I22" s="12">
        <v>16</v>
      </c>
      <c r="J22" s="12">
        <v>13</v>
      </c>
      <c r="K22" s="12">
        <v>3</v>
      </c>
      <c r="L22" s="12">
        <v>15</v>
      </c>
      <c r="M22" s="12">
        <v>29</v>
      </c>
      <c r="N22" s="12">
        <v>11</v>
      </c>
      <c r="O22" s="12">
        <v>7</v>
      </c>
      <c r="P22" s="12">
        <v>19</v>
      </c>
      <c r="Q22" s="12">
        <v>9</v>
      </c>
      <c r="R22" s="12"/>
      <c r="S22" s="12">
        <v>6</v>
      </c>
      <c r="T22" s="12">
        <v>1</v>
      </c>
      <c r="U22" s="12">
        <v>3</v>
      </c>
      <c r="V22" s="12">
        <v>4</v>
      </c>
      <c r="W22" s="12">
        <v>7</v>
      </c>
      <c r="X22" s="12">
        <v>3</v>
      </c>
      <c r="Y22" s="12">
        <v>5</v>
      </c>
      <c r="Z22" s="12">
        <v>16</v>
      </c>
      <c r="AA22" s="12">
        <v>3</v>
      </c>
      <c r="AB22" s="12">
        <v>1</v>
      </c>
      <c r="AC22" s="12"/>
      <c r="AD22" s="12">
        <v>2</v>
      </c>
      <c r="AE22" s="12">
        <v>8</v>
      </c>
      <c r="AF22" s="12">
        <v>3</v>
      </c>
      <c r="AG22" s="12">
        <v>1</v>
      </c>
      <c r="AH22" s="12">
        <v>1</v>
      </c>
      <c r="AI22" s="12"/>
      <c r="AJ22" s="12">
        <v>7</v>
      </c>
      <c r="AK22" s="12">
        <v>7</v>
      </c>
      <c r="AL22" s="12">
        <v>8</v>
      </c>
      <c r="AM22" s="12">
        <v>2</v>
      </c>
      <c r="AN22" s="12">
        <v>36</v>
      </c>
      <c r="AO22" s="12">
        <v>17</v>
      </c>
      <c r="AP22" s="12">
        <v>8</v>
      </c>
      <c r="AQ22" s="12">
        <v>4</v>
      </c>
      <c r="AR22" s="12">
        <v>3</v>
      </c>
      <c r="AS22" s="12">
        <v>2</v>
      </c>
      <c r="AT22" s="12"/>
      <c r="AU22" s="12">
        <v>1</v>
      </c>
      <c r="AV22" s="12">
        <v>1</v>
      </c>
      <c r="AW22" s="12">
        <v>4</v>
      </c>
      <c r="AX22" s="12">
        <v>5</v>
      </c>
      <c r="AY22" s="12">
        <v>14</v>
      </c>
      <c r="AZ22" s="12">
        <v>9</v>
      </c>
      <c r="BA22" s="12">
        <v>2</v>
      </c>
      <c r="BB22" s="12">
        <v>3</v>
      </c>
      <c r="BC22" s="12">
        <v>1</v>
      </c>
      <c r="BD22" s="12">
        <v>5</v>
      </c>
      <c r="BE22" s="12">
        <v>58</v>
      </c>
      <c r="BF22" s="12">
        <v>65</v>
      </c>
      <c r="BG22" s="12">
        <v>13</v>
      </c>
      <c r="BH22" s="12">
        <v>27</v>
      </c>
      <c r="BI22" s="12">
        <v>16</v>
      </c>
      <c r="BJ22" s="12">
        <v>18</v>
      </c>
      <c r="BK22" s="12">
        <v>35</v>
      </c>
      <c r="BL22" s="12">
        <v>17</v>
      </c>
      <c r="BM22" s="12">
        <v>19</v>
      </c>
      <c r="BN22" s="12">
        <v>10</v>
      </c>
      <c r="BO22" s="12">
        <v>6</v>
      </c>
      <c r="BP22" s="12">
        <v>18</v>
      </c>
      <c r="BQ22" s="12">
        <v>17</v>
      </c>
      <c r="BR22" s="12">
        <v>3</v>
      </c>
      <c r="BS22" s="12">
        <v>29</v>
      </c>
      <c r="BT22" s="12">
        <v>5</v>
      </c>
      <c r="BU22" s="12">
        <v>12</v>
      </c>
      <c r="BV22" s="12">
        <v>19</v>
      </c>
      <c r="BW22" s="12">
        <v>8</v>
      </c>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f>SUM(Q22:DB22)</f>
        <v>607</v>
      </c>
    </row>
    <row r="23" spans="1:107" x14ac:dyDescent="0.25">
      <c r="A23" s="2"/>
      <c r="B23" s="5" t="s">
        <v>79</v>
      </c>
      <c r="C23" s="16">
        <v>14</v>
      </c>
      <c r="D23" s="16">
        <v>14</v>
      </c>
      <c r="E23" s="16">
        <v>12</v>
      </c>
      <c r="F23" s="16">
        <v>7</v>
      </c>
      <c r="G23" s="12">
        <v>10</v>
      </c>
      <c r="H23" s="12">
        <v>11</v>
      </c>
      <c r="I23" s="12">
        <v>16</v>
      </c>
      <c r="J23" s="12">
        <v>14</v>
      </c>
      <c r="K23" s="12">
        <v>19</v>
      </c>
      <c r="L23" s="12">
        <v>14</v>
      </c>
      <c r="M23" s="12">
        <v>45</v>
      </c>
      <c r="N23" s="12">
        <v>12</v>
      </c>
      <c r="O23" s="12">
        <v>5</v>
      </c>
      <c r="P23" s="12">
        <v>6</v>
      </c>
      <c r="Q23" s="12">
        <v>2</v>
      </c>
      <c r="R23" s="12">
        <v>6</v>
      </c>
      <c r="S23" s="12">
        <v>2</v>
      </c>
      <c r="T23" s="12">
        <v>6</v>
      </c>
      <c r="U23" s="12">
        <v>4</v>
      </c>
      <c r="V23" s="12">
        <v>1</v>
      </c>
      <c r="W23" s="12">
        <v>7</v>
      </c>
      <c r="X23" s="12">
        <v>1</v>
      </c>
      <c r="Y23" s="12">
        <v>2</v>
      </c>
      <c r="Z23" s="12">
        <v>8</v>
      </c>
      <c r="AA23" s="12"/>
      <c r="AB23" s="12">
        <v>1</v>
      </c>
      <c r="AC23" s="12">
        <v>1</v>
      </c>
      <c r="AD23" s="12">
        <v>1</v>
      </c>
      <c r="AE23" s="12">
        <v>1</v>
      </c>
      <c r="AF23" s="12">
        <v>1</v>
      </c>
      <c r="AG23" s="12">
        <v>3</v>
      </c>
      <c r="AH23" s="12">
        <v>3</v>
      </c>
      <c r="AI23" s="12">
        <v>2</v>
      </c>
      <c r="AJ23" s="12">
        <v>3</v>
      </c>
      <c r="AK23" s="12">
        <v>3</v>
      </c>
      <c r="AL23" s="12"/>
      <c r="AM23" s="12">
        <v>1</v>
      </c>
      <c r="AN23" s="12">
        <v>38</v>
      </c>
      <c r="AO23" s="12">
        <v>40</v>
      </c>
      <c r="AP23" s="12">
        <v>24</v>
      </c>
      <c r="AQ23" s="12">
        <v>19</v>
      </c>
      <c r="AR23" s="12">
        <v>64</v>
      </c>
      <c r="AS23" s="12">
        <v>5</v>
      </c>
      <c r="AT23" s="12">
        <v>40</v>
      </c>
      <c r="AU23" s="12">
        <v>28</v>
      </c>
      <c r="AV23" s="12">
        <v>4</v>
      </c>
      <c r="AW23" s="12">
        <v>8</v>
      </c>
      <c r="AX23" s="12">
        <v>84</v>
      </c>
      <c r="AY23" s="12">
        <v>687</v>
      </c>
      <c r="AZ23" s="12">
        <v>55</v>
      </c>
      <c r="BA23" s="12">
        <v>17</v>
      </c>
      <c r="BB23" s="12"/>
      <c r="BC23" s="12"/>
      <c r="BD23" s="12">
        <v>13</v>
      </c>
      <c r="BE23" s="12">
        <v>81</v>
      </c>
      <c r="BF23" s="12">
        <v>99</v>
      </c>
      <c r="BG23" s="12">
        <v>66</v>
      </c>
      <c r="BH23" s="12">
        <v>57</v>
      </c>
      <c r="BI23" s="12">
        <v>70</v>
      </c>
      <c r="BJ23" s="12">
        <v>91</v>
      </c>
      <c r="BK23" s="12">
        <v>56</v>
      </c>
      <c r="BL23" s="12">
        <v>56</v>
      </c>
      <c r="BM23" s="12">
        <v>2</v>
      </c>
      <c r="BN23" s="12">
        <v>29</v>
      </c>
      <c r="BO23" s="12">
        <v>18</v>
      </c>
      <c r="BP23" s="12">
        <v>6</v>
      </c>
      <c r="BQ23" s="12">
        <v>265</v>
      </c>
      <c r="BR23" s="12">
        <v>49</v>
      </c>
      <c r="BS23" s="12">
        <v>31</v>
      </c>
      <c r="BT23" s="12">
        <v>38</v>
      </c>
      <c r="BU23" s="12">
        <v>104</v>
      </c>
      <c r="BV23" s="12">
        <v>344</v>
      </c>
      <c r="BW23" s="12">
        <v>153</v>
      </c>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f t="shared" ref="DC23:DC32" si="4">SUM(Q23:DB23)</f>
        <v>2800</v>
      </c>
    </row>
    <row r="24" spans="1:107" x14ac:dyDescent="0.25">
      <c r="A24" s="2"/>
      <c r="B24" s="5" t="s">
        <v>69</v>
      </c>
      <c r="C24" s="16">
        <v>20</v>
      </c>
      <c r="D24" s="16">
        <v>52</v>
      </c>
      <c r="E24" s="16">
        <v>64</v>
      </c>
      <c r="F24" s="16">
        <v>45</v>
      </c>
      <c r="G24" s="12">
        <v>38</v>
      </c>
      <c r="H24" s="12">
        <v>27</v>
      </c>
      <c r="I24" s="12">
        <v>43</v>
      </c>
      <c r="J24" s="12">
        <v>25</v>
      </c>
      <c r="K24" s="12">
        <v>65</v>
      </c>
      <c r="L24" s="12">
        <v>80</v>
      </c>
      <c r="M24" s="12">
        <v>133</v>
      </c>
      <c r="N24" s="12">
        <v>67</v>
      </c>
      <c r="O24" s="12">
        <v>39</v>
      </c>
      <c r="P24" s="12">
        <v>94</v>
      </c>
      <c r="Q24" s="12">
        <v>79</v>
      </c>
      <c r="R24" s="12">
        <v>74</v>
      </c>
      <c r="S24" s="12">
        <v>41</v>
      </c>
      <c r="T24" s="12">
        <v>67</v>
      </c>
      <c r="U24" s="12">
        <v>84</v>
      </c>
      <c r="V24" s="12">
        <v>75</v>
      </c>
      <c r="W24" s="12">
        <v>107</v>
      </c>
      <c r="X24" s="12">
        <v>81</v>
      </c>
      <c r="Y24" s="12">
        <v>45</v>
      </c>
      <c r="Z24" s="12">
        <v>70</v>
      </c>
      <c r="AA24" s="12">
        <v>27</v>
      </c>
      <c r="AB24" s="12">
        <v>10</v>
      </c>
      <c r="AC24" s="12">
        <v>86</v>
      </c>
      <c r="AD24" s="12">
        <v>16</v>
      </c>
      <c r="AE24" s="12">
        <v>27</v>
      </c>
      <c r="AF24" s="12">
        <v>25</v>
      </c>
      <c r="AG24" s="12">
        <v>5</v>
      </c>
      <c r="AH24" s="12">
        <v>9</v>
      </c>
      <c r="AI24" s="12">
        <v>70</v>
      </c>
      <c r="AJ24" s="12">
        <v>74</v>
      </c>
      <c r="AK24" s="12">
        <v>61</v>
      </c>
      <c r="AL24" s="12">
        <v>68</v>
      </c>
      <c r="AM24" s="12">
        <v>31</v>
      </c>
      <c r="AN24" s="12">
        <v>141</v>
      </c>
      <c r="AO24" s="12">
        <v>156</v>
      </c>
      <c r="AP24" s="12">
        <v>72</v>
      </c>
      <c r="AQ24" s="12">
        <v>57</v>
      </c>
      <c r="AR24" s="12">
        <v>86</v>
      </c>
      <c r="AS24" s="12">
        <v>99</v>
      </c>
      <c r="AT24" s="12">
        <v>71</v>
      </c>
      <c r="AU24" s="12">
        <v>46</v>
      </c>
      <c r="AV24" s="12">
        <v>18</v>
      </c>
      <c r="AW24" s="12">
        <v>89</v>
      </c>
      <c r="AX24" s="12">
        <v>46</v>
      </c>
      <c r="AY24" s="12">
        <v>142</v>
      </c>
      <c r="AZ24" s="12">
        <v>112</v>
      </c>
      <c r="BA24" s="12">
        <v>25</v>
      </c>
      <c r="BB24" s="12">
        <v>18</v>
      </c>
      <c r="BC24" s="12">
        <v>36</v>
      </c>
      <c r="BD24" s="12">
        <v>44</v>
      </c>
      <c r="BE24" s="12">
        <v>236</v>
      </c>
      <c r="BF24" s="12">
        <v>263</v>
      </c>
      <c r="BG24" s="12">
        <v>173</v>
      </c>
      <c r="BH24" s="12">
        <v>119</v>
      </c>
      <c r="BI24" s="12">
        <v>76</v>
      </c>
      <c r="BJ24" s="12">
        <v>239</v>
      </c>
      <c r="BK24" s="12">
        <v>165</v>
      </c>
      <c r="BL24" s="12">
        <v>170</v>
      </c>
      <c r="BM24" s="12">
        <v>215</v>
      </c>
      <c r="BN24" s="12">
        <v>122</v>
      </c>
      <c r="BO24" s="12">
        <v>122</v>
      </c>
      <c r="BP24" s="12">
        <v>102</v>
      </c>
      <c r="BQ24" s="12">
        <v>111</v>
      </c>
      <c r="BR24" s="12">
        <v>141</v>
      </c>
      <c r="BS24" s="12">
        <v>109</v>
      </c>
      <c r="BT24" s="12">
        <v>133</v>
      </c>
      <c r="BU24" s="12">
        <v>187</v>
      </c>
      <c r="BV24" s="12">
        <v>305</v>
      </c>
      <c r="BW24" s="12">
        <v>268</v>
      </c>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f t="shared" si="4"/>
        <v>5746</v>
      </c>
    </row>
    <row r="25" spans="1:107" x14ac:dyDescent="0.25">
      <c r="A25" s="2"/>
      <c r="B25" s="5" t="s">
        <v>64</v>
      </c>
      <c r="C25" s="16">
        <v>26</v>
      </c>
      <c r="D25" s="16">
        <v>4</v>
      </c>
      <c r="E25" s="16">
        <v>92</v>
      </c>
      <c r="F25" s="16">
        <v>58</v>
      </c>
      <c r="G25" s="12">
        <v>53</v>
      </c>
      <c r="H25" s="12">
        <v>32</v>
      </c>
      <c r="I25" s="12">
        <v>30</v>
      </c>
      <c r="J25" s="12">
        <v>29</v>
      </c>
      <c r="K25" s="12">
        <v>43</v>
      </c>
      <c r="L25" s="12">
        <v>44</v>
      </c>
      <c r="M25" s="12">
        <v>90</v>
      </c>
      <c r="N25" s="12">
        <v>54</v>
      </c>
      <c r="O25" s="12">
        <v>52</v>
      </c>
      <c r="P25" s="12">
        <v>62</v>
      </c>
      <c r="Q25" s="12">
        <v>50</v>
      </c>
      <c r="R25" s="12">
        <v>39</v>
      </c>
      <c r="S25" s="12">
        <v>39</v>
      </c>
      <c r="T25" s="12">
        <v>35</v>
      </c>
      <c r="U25" s="12">
        <v>47</v>
      </c>
      <c r="V25" s="12">
        <v>44</v>
      </c>
      <c r="W25" s="12">
        <v>71</v>
      </c>
      <c r="X25" s="12">
        <v>48</v>
      </c>
      <c r="Y25" s="12">
        <v>24</v>
      </c>
      <c r="Z25" s="12">
        <v>55</v>
      </c>
      <c r="AA25" s="12">
        <v>21</v>
      </c>
      <c r="AB25" s="12">
        <v>7</v>
      </c>
      <c r="AC25" s="12">
        <v>45</v>
      </c>
      <c r="AD25" s="12">
        <v>13</v>
      </c>
      <c r="AE25" s="12">
        <v>21</v>
      </c>
      <c r="AF25" s="12">
        <v>15</v>
      </c>
      <c r="AG25" s="12">
        <v>6</v>
      </c>
      <c r="AH25" s="12">
        <v>9</v>
      </c>
      <c r="AI25" s="12">
        <v>45</v>
      </c>
      <c r="AJ25" s="12">
        <v>66</v>
      </c>
      <c r="AK25" s="12">
        <v>48</v>
      </c>
      <c r="AL25" s="12">
        <v>37</v>
      </c>
      <c r="AM25" s="12">
        <v>28</v>
      </c>
      <c r="AN25" s="12">
        <v>93</v>
      </c>
      <c r="AO25" s="12">
        <v>125</v>
      </c>
      <c r="AP25" s="12">
        <v>59</v>
      </c>
      <c r="AQ25" s="12">
        <v>41</v>
      </c>
      <c r="AR25" s="12">
        <v>46</v>
      </c>
      <c r="AS25" s="12">
        <v>52</v>
      </c>
      <c r="AT25" s="12">
        <v>48</v>
      </c>
      <c r="AU25" s="12">
        <v>42</v>
      </c>
      <c r="AV25" s="12">
        <v>14</v>
      </c>
      <c r="AW25" s="12">
        <v>74</v>
      </c>
      <c r="AX25" s="12">
        <v>24</v>
      </c>
      <c r="AY25" s="12">
        <v>99</v>
      </c>
      <c r="AZ25" s="12">
        <v>69</v>
      </c>
      <c r="BA25" s="12">
        <v>18</v>
      </c>
      <c r="BB25" s="12">
        <v>14</v>
      </c>
      <c r="BC25" s="12">
        <v>24</v>
      </c>
      <c r="BD25" s="12">
        <v>35</v>
      </c>
      <c r="BE25" s="12">
        <v>150</v>
      </c>
      <c r="BF25" s="12">
        <v>156</v>
      </c>
      <c r="BG25" s="12">
        <v>99</v>
      </c>
      <c r="BH25" s="12">
        <v>99</v>
      </c>
      <c r="BI25" s="12">
        <v>60</v>
      </c>
      <c r="BJ25" s="12">
        <v>149</v>
      </c>
      <c r="BK25" s="12">
        <v>151</v>
      </c>
      <c r="BL25" s="12">
        <v>133</v>
      </c>
      <c r="BM25" s="12">
        <v>151</v>
      </c>
      <c r="BN25" s="12">
        <v>97</v>
      </c>
      <c r="BO25" s="12">
        <v>101</v>
      </c>
      <c r="BP25" s="12">
        <v>77</v>
      </c>
      <c r="BQ25" s="12">
        <v>102</v>
      </c>
      <c r="BR25" s="12">
        <v>91</v>
      </c>
      <c r="BS25" s="12">
        <v>93</v>
      </c>
      <c r="BT25" s="12">
        <v>88</v>
      </c>
      <c r="BU25" s="12">
        <v>123</v>
      </c>
      <c r="BV25" s="12">
        <v>201</v>
      </c>
      <c r="BW25" s="12">
        <v>178</v>
      </c>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f t="shared" si="4"/>
        <v>3989</v>
      </c>
    </row>
    <row r="26" spans="1:107" x14ac:dyDescent="0.25">
      <c r="A26" s="2"/>
      <c r="B26" s="5" t="s">
        <v>202</v>
      </c>
      <c r="C26" s="16"/>
      <c r="D26" s="16"/>
      <c r="E26" s="16"/>
      <c r="F26" s="16"/>
      <c r="G26" s="12"/>
      <c r="H26" s="12"/>
      <c r="I26" s="12"/>
      <c r="J26" s="12"/>
      <c r="K26" s="12"/>
      <c r="L26" s="12"/>
      <c r="M26" s="12"/>
      <c r="N26" s="12"/>
      <c r="O26" s="12"/>
      <c r="P26" s="12"/>
      <c r="Q26" s="12"/>
      <c r="R26" s="12"/>
      <c r="S26" s="12"/>
      <c r="T26" s="12"/>
      <c r="U26" s="12"/>
      <c r="V26" s="12"/>
      <c r="W26" s="12"/>
      <c r="X26" s="12">
        <v>2</v>
      </c>
      <c r="Y26" s="12">
        <v>6</v>
      </c>
      <c r="Z26" s="12">
        <v>1</v>
      </c>
      <c r="AA26" s="12">
        <v>2</v>
      </c>
      <c r="AB26" s="12"/>
      <c r="AC26" s="12"/>
      <c r="AD26" s="12"/>
      <c r="AE26" s="12"/>
      <c r="AF26" s="12"/>
      <c r="AG26" s="12"/>
      <c r="AH26" s="12"/>
      <c r="AI26" s="12"/>
      <c r="AJ26" s="12"/>
      <c r="AK26" s="12"/>
      <c r="AL26" s="12">
        <v>1</v>
      </c>
      <c r="AM26" s="12"/>
      <c r="AN26" s="12"/>
      <c r="AO26" s="12">
        <v>5</v>
      </c>
      <c r="AP26" s="12">
        <v>8</v>
      </c>
      <c r="AQ26" s="12">
        <v>8</v>
      </c>
      <c r="AR26" s="12">
        <v>6</v>
      </c>
      <c r="AS26" s="12">
        <v>1</v>
      </c>
      <c r="AT26" s="12"/>
      <c r="AU26" s="12"/>
      <c r="AV26" s="12"/>
      <c r="AW26" s="12">
        <v>10</v>
      </c>
      <c r="AX26" s="12">
        <v>5</v>
      </c>
      <c r="AY26" s="12">
        <v>4</v>
      </c>
      <c r="AZ26" s="12">
        <v>5</v>
      </c>
      <c r="BA26" s="12">
        <v>7</v>
      </c>
      <c r="BB26" s="12">
        <v>1</v>
      </c>
      <c r="BC26" s="12"/>
      <c r="BD26" s="12">
        <v>10</v>
      </c>
      <c r="BE26" s="12">
        <v>18</v>
      </c>
      <c r="BF26" s="12">
        <v>3</v>
      </c>
      <c r="BG26" s="12">
        <v>6</v>
      </c>
      <c r="BH26" s="12">
        <v>7</v>
      </c>
      <c r="BI26" s="12"/>
      <c r="BJ26" s="12">
        <v>10</v>
      </c>
      <c r="BK26" s="12">
        <v>10</v>
      </c>
      <c r="BL26" s="12">
        <v>4</v>
      </c>
      <c r="BM26" s="12"/>
      <c r="BN26" s="12"/>
      <c r="BO26" s="12">
        <v>1</v>
      </c>
      <c r="BP26" s="12">
        <v>3</v>
      </c>
      <c r="BQ26" s="12"/>
      <c r="BR26" s="12"/>
      <c r="BS26" s="12">
        <v>13</v>
      </c>
      <c r="BT26" s="12">
        <v>1</v>
      </c>
      <c r="BU26" s="12"/>
      <c r="BV26" s="12">
        <v>1</v>
      </c>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f t="shared" si="4"/>
        <v>159</v>
      </c>
    </row>
    <row r="27" spans="1:107" x14ac:dyDescent="0.25">
      <c r="A27" s="2"/>
      <c r="B27" s="5" t="s">
        <v>74</v>
      </c>
      <c r="C27" s="16">
        <v>20</v>
      </c>
      <c r="D27" s="16">
        <v>4</v>
      </c>
      <c r="E27" s="16">
        <v>12</v>
      </c>
      <c r="F27" s="16">
        <v>8</v>
      </c>
      <c r="G27" s="12">
        <v>5</v>
      </c>
      <c r="H27" s="12">
        <v>4</v>
      </c>
      <c r="I27" s="12">
        <v>21</v>
      </c>
      <c r="J27" s="12">
        <v>5</v>
      </c>
      <c r="K27" s="12">
        <v>7</v>
      </c>
      <c r="L27" s="12">
        <v>3</v>
      </c>
      <c r="M27" s="12">
        <v>30</v>
      </c>
      <c r="N27" s="12">
        <v>22</v>
      </c>
      <c r="O27" s="12">
        <v>5</v>
      </c>
      <c r="P27" s="12">
        <v>18</v>
      </c>
      <c r="Q27" s="12">
        <v>517</v>
      </c>
      <c r="R27" s="12">
        <v>384</v>
      </c>
      <c r="S27" s="12">
        <v>178</v>
      </c>
      <c r="T27" s="12">
        <v>390</v>
      </c>
      <c r="U27" s="12">
        <v>198</v>
      </c>
      <c r="V27" s="12">
        <v>288</v>
      </c>
      <c r="W27" s="12">
        <v>242</v>
      </c>
      <c r="X27" s="12">
        <v>212</v>
      </c>
      <c r="Y27" s="12">
        <v>256</v>
      </c>
      <c r="Z27" s="12">
        <v>186</v>
      </c>
      <c r="AA27" s="12">
        <v>196</v>
      </c>
      <c r="AB27" s="12">
        <v>168</v>
      </c>
      <c r="AC27" s="12">
        <v>183</v>
      </c>
      <c r="AD27" s="12">
        <v>207</v>
      </c>
      <c r="AE27" s="12">
        <v>186</v>
      </c>
      <c r="AF27" s="12">
        <v>214</v>
      </c>
      <c r="AG27" s="12">
        <v>170</v>
      </c>
      <c r="AH27" s="12">
        <v>176</v>
      </c>
      <c r="AI27" s="12">
        <v>202</v>
      </c>
      <c r="AJ27" s="12">
        <v>218</v>
      </c>
      <c r="AK27" s="12">
        <v>255</v>
      </c>
      <c r="AL27" s="12">
        <v>220</v>
      </c>
      <c r="AM27" s="12">
        <v>271</v>
      </c>
      <c r="AN27" s="12">
        <v>273</v>
      </c>
      <c r="AO27" s="12">
        <v>210</v>
      </c>
      <c r="AP27" s="12">
        <v>456</v>
      </c>
      <c r="AQ27" s="12">
        <v>407</v>
      </c>
      <c r="AR27" s="12">
        <v>388</v>
      </c>
      <c r="AS27" s="12">
        <v>227</v>
      </c>
      <c r="AT27" s="12">
        <v>281</v>
      </c>
      <c r="AU27" s="12">
        <v>214</v>
      </c>
      <c r="AV27" s="12">
        <v>207</v>
      </c>
      <c r="AW27" s="12">
        <v>185</v>
      </c>
      <c r="AX27" s="12">
        <v>265</v>
      </c>
      <c r="AY27" s="12">
        <v>193</v>
      </c>
      <c r="AZ27" s="12">
        <v>204</v>
      </c>
      <c r="BA27" s="12">
        <v>130</v>
      </c>
      <c r="BB27" s="12">
        <v>192</v>
      </c>
      <c r="BC27" s="12">
        <v>241</v>
      </c>
      <c r="BD27" s="12">
        <v>245</v>
      </c>
      <c r="BE27" s="12">
        <v>217</v>
      </c>
      <c r="BF27" s="12">
        <v>385</v>
      </c>
      <c r="BG27" s="12">
        <v>360</v>
      </c>
      <c r="BH27" s="12">
        <v>316</v>
      </c>
      <c r="BI27" s="12">
        <v>244</v>
      </c>
      <c r="BJ27" s="12">
        <v>454</v>
      </c>
      <c r="BK27" s="12">
        <v>471</v>
      </c>
      <c r="BL27" s="12">
        <v>448</v>
      </c>
      <c r="BM27" s="12">
        <v>585</v>
      </c>
      <c r="BN27" s="12">
        <v>393</v>
      </c>
      <c r="BO27" s="12">
        <v>484</v>
      </c>
      <c r="BP27" s="12">
        <v>320</v>
      </c>
      <c r="BQ27" s="12">
        <v>226</v>
      </c>
      <c r="BR27" s="12">
        <v>369</v>
      </c>
      <c r="BS27" s="12">
        <v>253</v>
      </c>
      <c r="BT27" s="12">
        <v>239</v>
      </c>
      <c r="BU27" s="12">
        <v>223</v>
      </c>
      <c r="BV27" s="12">
        <v>688</v>
      </c>
      <c r="BW27" s="12">
        <v>171</v>
      </c>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2"/>
      <c r="CY27" s="12"/>
      <c r="CZ27" s="12"/>
      <c r="DA27" s="12"/>
      <c r="DB27" s="12"/>
      <c r="DC27">
        <f t="shared" si="4"/>
        <v>16681</v>
      </c>
    </row>
    <row r="28" spans="1:107" x14ac:dyDescent="0.25">
      <c r="A28" s="2"/>
      <c r="B28" s="5" t="s">
        <v>61</v>
      </c>
      <c r="C28" s="16">
        <v>17</v>
      </c>
      <c r="D28" s="16">
        <v>157</v>
      </c>
      <c r="E28" s="16">
        <v>81</v>
      </c>
      <c r="F28" s="16">
        <v>0</v>
      </c>
      <c r="G28" s="12">
        <v>95</v>
      </c>
      <c r="H28" s="12">
        <v>81</v>
      </c>
      <c r="I28" s="12">
        <v>31</v>
      </c>
      <c r="J28" s="12">
        <v>99</v>
      </c>
      <c r="K28" s="12">
        <v>87</v>
      </c>
      <c r="L28" s="12">
        <v>82</v>
      </c>
      <c r="M28" s="12">
        <v>330</v>
      </c>
      <c r="N28" s="12">
        <v>144</v>
      </c>
      <c r="O28" s="12">
        <v>80</v>
      </c>
      <c r="P28" s="12">
        <v>233</v>
      </c>
      <c r="Q28" s="12">
        <v>167</v>
      </c>
      <c r="R28" s="12">
        <v>119</v>
      </c>
      <c r="S28" s="12">
        <v>57</v>
      </c>
      <c r="T28" s="12">
        <v>175</v>
      </c>
      <c r="U28" s="12">
        <v>146</v>
      </c>
      <c r="V28" s="12">
        <v>113</v>
      </c>
      <c r="W28" s="12">
        <v>178</v>
      </c>
      <c r="X28" s="12">
        <v>121</v>
      </c>
      <c r="Y28" s="12">
        <v>92</v>
      </c>
      <c r="Z28" s="12">
        <v>149</v>
      </c>
      <c r="AA28" s="12">
        <v>93</v>
      </c>
      <c r="AB28" s="12">
        <v>126</v>
      </c>
      <c r="AC28" s="12">
        <v>115</v>
      </c>
      <c r="AD28" s="12">
        <v>57</v>
      </c>
      <c r="AE28" s="12">
        <v>88</v>
      </c>
      <c r="AF28" s="12">
        <v>48</v>
      </c>
      <c r="AG28" s="12">
        <v>52</v>
      </c>
      <c r="AH28" s="12">
        <v>29</v>
      </c>
      <c r="AI28" s="12">
        <v>190</v>
      </c>
      <c r="AJ28" s="12">
        <v>127</v>
      </c>
      <c r="AK28" s="12">
        <v>119</v>
      </c>
      <c r="AL28" s="12">
        <v>123</v>
      </c>
      <c r="AM28" s="12">
        <v>128</v>
      </c>
      <c r="AN28" s="12">
        <v>225</v>
      </c>
      <c r="AO28" s="12">
        <v>207</v>
      </c>
      <c r="AP28" s="12">
        <v>209</v>
      </c>
      <c r="AQ28" s="12">
        <v>202</v>
      </c>
      <c r="AR28" s="12">
        <v>159</v>
      </c>
      <c r="AS28" s="12">
        <v>120</v>
      </c>
      <c r="AT28" s="12">
        <v>98</v>
      </c>
      <c r="AU28" s="12">
        <v>90</v>
      </c>
      <c r="AV28" s="12">
        <v>122</v>
      </c>
      <c r="AW28" s="12">
        <v>204</v>
      </c>
      <c r="AX28" s="12">
        <v>13</v>
      </c>
      <c r="AY28" s="12">
        <v>58</v>
      </c>
      <c r="AZ28" s="12">
        <v>25</v>
      </c>
      <c r="BA28" s="12">
        <v>12</v>
      </c>
      <c r="BB28" s="12">
        <v>31</v>
      </c>
      <c r="BC28" s="12">
        <v>43</v>
      </c>
      <c r="BD28" s="12">
        <v>132</v>
      </c>
      <c r="BE28" s="12">
        <v>345</v>
      </c>
      <c r="BF28" s="12">
        <v>303</v>
      </c>
      <c r="BG28" s="12">
        <v>167</v>
      </c>
      <c r="BH28" s="12">
        <v>206</v>
      </c>
      <c r="BI28" s="12">
        <v>167</v>
      </c>
      <c r="BJ28" s="12">
        <v>199</v>
      </c>
      <c r="BK28" s="12">
        <v>310</v>
      </c>
      <c r="BL28" s="12">
        <v>187</v>
      </c>
      <c r="BM28" s="12">
        <v>202</v>
      </c>
      <c r="BN28" s="12">
        <v>123</v>
      </c>
      <c r="BO28" s="12">
        <v>147</v>
      </c>
      <c r="BP28" s="12">
        <v>171</v>
      </c>
      <c r="BQ28" s="12">
        <v>145</v>
      </c>
      <c r="BR28" s="12">
        <v>181</v>
      </c>
      <c r="BS28" s="12">
        <v>191</v>
      </c>
      <c r="BT28" s="12">
        <v>159</v>
      </c>
      <c r="BU28" s="12">
        <v>193</v>
      </c>
      <c r="BV28" s="12">
        <v>95</v>
      </c>
      <c r="BW28" s="12">
        <v>89</v>
      </c>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f t="shared" si="4"/>
        <v>8142</v>
      </c>
    </row>
    <row r="29" spans="1:107" x14ac:dyDescent="0.25">
      <c r="A29" s="2"/>
      <c r="B29" s="5" t="s">
        <v>91</v>
      </c>
      <c r="C29" s="16">
        <v>4</v>
      </c>
      <c r="D29" s="16">
        <v>14</v>
      </c>
      <c r="E29" s="16">
        <v>12</v>
      </c>
      <c r="F29" s="16">
        <v>3</v>
      </c>
      <c r="G29" s="12">
        <v>9</v>
      </c>
      <c r="H29" s="12">
        <v>1</v>
      </c>
      <c r="I29" s="12">
        <v>2</v>
      </c>
      <c r="J29" s="12">
        <v>1</v>
      </c>
      <c r="K29" s="12">
        <v>2</v>
      </c>
      <c r="L29" s="12">
        <v>0</v>
      </c>
      <c r="M29" s="12">
        <v>32</v>
      </c>
      <c r="N29" s="12">
        <v>6</v>
      </c>
      <c r="O29" s="12">
        <v>2</v>
      </c>
      <c r="P29" s="12"/>
      <c r="Q29" s="12">
        <v>3</v>
      </c>
      <c r="R29" s="12">
        <v>5</v>
      </c>
      <c r="S29" s="12">
        <v>1</v>
      </c>
      <c r="T29" s="12">
        <v>3</v>
      </c>
      <c r="U29" s="12">
        <v>2</v>
      </c>
      <c r="V29" s="12">
        <v>4</v>
      </c>
      <c r="W29" s="12">
        <v>9</v>
      </c>
      <c r="X29" s="12">
        <v>3</v>
      </c>
      <c r="Y29" s="12">
        <v>1</v>
      </c>
      <c r="Z29" s="12">
        <v>7</v>
      </c>
      <c r="AA29" s="12"/>
      <c r="AB29" s="12"/>
      <c r="AC29" s="12">
        <v>1</v>
      </c>
      <c r="AD29" s="12">
        <v>1</v>
      </c>
      <c r="AE29" s="12">
        <v>2</v>
      </c>
      <c r="AF29" s="12">
        <v>1</v>
      </c>
      <c r="AG29" s="12">
        <v>5</v>
      </c>
      <c r="AH29" s="12"/>
      <c r="AI29" s="12"/>
      <c r="AJ29" s="12"/>
      <c r="AK29" s="12">
        <v>1</v>
      </c>
      <c r="AL29" s="12"/>
      <c r="AM29" s="12">
        <v>2</v>
      </c>
      <c r="AN29" s="12">
        <v>7</v>
      </c>
      <c r="AO29" s="12">
        <v>6</v>
      </c>
      <c r="AP29" s="12">
        <v>2</v>
      </c>
      <c r="AQ29" s="12"/>
      <c r="AR29" s="12"/>
      <c r="AS29" s="12">
        <v>1</v>
      </c>
      <c r="AT29" s="12">
        <v>2</v>
      </c>
      <c r="AU29" s="12">
        <v>2</v>
      </c>
      <c r="AV29" s="12">
        <v>1</v>
      </c>
      <c r="AW29" s="12">
        <v>7</v>
      </c>
      <c r="AX29" s="12">
        <v>4</v>
      </c>
      <c r="AY29" s="12">
        <v>6</v>
      </c>
      <c r="AZ29" s="12">
        <v>17</v>
      </c>
      <c r="BA29" s="12">
        <v>3</v>
      </c>
      <c r="BB29" s="12"/>
      <c r="BC29" s="12"/>
      <c r="BD29" s="12">
        <v>3</v>
      </c>
      <c r="BE29" s="12">
        <v>14</v>
      </c>
      <c r="BF29" s="12">
        <v>7</v>
      </c>
      <c r="BG29" s="12">
        <v>8</v>
      </c>
      <c r="BH29" s="12">
        <v>17</v>
      </c>
      <c r="BI29" s="12">
        <v>8</v>
      </c>
      <c r="BJ29" s="12">
        <v>11</v>
      </c>
      <c r="BK29" s="12">
        <v>8</v>
      </c>
      <c r="BL29" s="12">
        <v>2</v>
      </c>
      <c r="BM29" s="12">
        <v>2</v>
      </c>
      <c r="BN29" s="12">
        <v>8</v>
      </c>
      <c r="BO29" s="12">
        <v>8</v>
      </c>
      <c r="BP29" s="12">
        <v>2</v>
      </c>
      <c r="BQ29" s="12">
        <v>16</v>
      </c>
      <c r="BR29" s="12">
        <v>5</v>
      </c>
      <c r="BS29" s="12">
        <v>8</v>
      </c>
      <c r="BT29" s="12">
        <v>9</v>
      </c>
      <c r="BU29" s="12">
        <v>3</v>
      </c>
      <c r="BV29" s="12">
        <v>20</v>
      </c>
      <c r="BW29" s="12">
        <v>10</v>
      </c>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f t="shared" si="4"/>
        <v>278</v>
      </c>
    </row>
    <row r="30" spans="1:107" x14ac:dyDescent="0.25">
      <c r="A30" s="2"/>
      <c r="B30" s="5" t="s">
        <v>96</v>
      </c>
      <c r="C30" s="16">
        <v>1</v>
      </c>
      <c r="D30" s="16">
        <v>2</v>
      </c>
      <c r="E30" s="16">
        <v>5</v>
      </c>
      <c r="F30" s="16">
        <v>3</v>
      </c>
      <c r="G30" s="12">
        <v>0</v>
      </c>
      <c r="H30" s="12">
        <v>0</v>
      </c>
      <c r="I30" s="12">
        <v>0</v>
      </c>
      <c r="J30" s="12">
        <v>3</v>
      </c>
      <c r="K30" s="12">
        <v>0</v>
      </c>
      <c r="L30" s="12">
        <v>0</v>
      </c>
      <c r="M30" s="12">
        <v>10</v>
      </c>
      <c r="N30" s="12">
        <v>5</v>
      </c>
      <c r="O30" s="12">
        <v>0</v>
      </c>
      <c r="P30" s="12"/>
      <c r="Q30" s="12">
        <v>4</v>
      </c>
      <c r="R30" s="12"/>
      <c r="S30" s="12"/>
      <c r="T30" s="12">
        <v>1</v>
      </c>
      <c r="U30" s="12">
        <v>2</v>
      </c>
      <c r="V30" s="12">
        <v>2</v>
      </c>
      <c r="W30" s="12">
        <v>4</v>
      </c>
      <c r="X30" s="12"/>
      <c r="Y30" s="12"/>
      <c r="Z30" s="12">
        <v>4</v>
      </c>
      <c r="AA30" s="12"/>
      <c r="AB30" s="12"/>
      <c r="AC30" s="12"/>
      <c r="AD30" s="12"/>
      <c r="AE30" s="12"/>
      <c r="AF30" s="12"/>
      <c r="AG30" s="12">
        <v>1</v>
      </c>
      <c r="AH30" s="12"/>
      <c r="AI30" s="12"/>
      <c r="AJ30" s="12"/>
      <c r="AK30" s="12">
        <v>1</v>
      </c>
      <c r="AL30" s="12"/>
      <c r="AM30" s="12"/>
      <c r="AN30" s="12">
        <v>2</v>
      </c>
      <c r="AO30" s="12">
        <v>2</v>
      </c>
      <c r="AP30" s="12"/>
      <c r="AQ30" s="12">
        <v>2</v>
      </c>
      <c r="AR30" s="12">
        <v>2</v>
      </c>
      <c r="AS30" s="12"/>
      <c r="AT30" s="12"/>
      <c r="AU30" s="12"/>
      <c r="AV30" s="12"/>
      <c r="AW30" s="12"/>
      <c r="AX30" s="12"/>
      <c r="AY30" s="12">
        <v>5</v>
      </c>
      <c r="AZ30" s="12">
        <v>1</v>
      </c>
      <c r="BA30" s="12"/>
      <c r="BB30" s="12"/>
      <c r="BC30" s="12"/>
      <c r="BD30" s="12"/>
      <c r="BE30" s="12">
        <v>5</v>
      </c>
      <c r="BF30" s="12">
        <v>8</v>
      </c>
      <c r="BG30" s="12">
        <v>6</v>
      </c>
      <c r="BH30" s="12">
        <v>1</v>
      </c>
      <c r="BI30" s="12">
        <v>3</v>
      </c>
      <c r="BJ30" s="12">
        <v>14</v>
      </c>
      <c r="BK30" s="12">
        <v>6</v>
      </c>
      <c r="BL30" s="12">
        <v>5</v>
      </c>
      <c r="BM30" s="12"/>
      <c r="BN30" s="12"/>
      <c r="BO30" s="12">
        <v>1</v>
      </c>
      <c r="BP30" s="12">
        <v>7</v>
      </c>
      <c r="BQ30" s="12">
        <v>5</v>
      </c>
      <c r="BR30" s="12"/>
      <c r="BS30" s="12">
        <v>8</v>
      </c>
      <c r="BT30" s="12">
        <v>2</v>
      </c>
      <c r="BU30" s="12">
        <v>16</v>
      </c>
      <c r="BV30" s="12">
        <v>16</v>
      </c>
      <c r="BW30" s="12">
        <v>1</v>
      </c>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f t="shared" si="4"/>
        <v>137</v>
      </c>
    </row>
    <row r="31" spans="1:107" x14ac:dyDescent="0.25">
      <c r="A31" s="2"/>
      <c r="B31" s="5" t="s">
        <v>101</v>
      </c>
      <c r="C31" s="16">
        <v>3</v>
      </c>
      <c r="D31" s="16">
        <v>0</v>
      </c>
      <c r="E31" s="16">
        <v>5</v>
      </c>
      <c r="F31" s="16">
        <v>2</v>
      </c>
      <c r="G31" s="12">
        <v>0</v>
      </c>
      <c r="H31" s="12">
        <v>0</v>
      </c>
      <c r="I31" s="12">
        <v>1</v>
      </c>
      <c r="J31" s="12">
        <v>12</v>
      </c>
      <c r="K31" s="12">
        <v>0</v>
      </c>
      <c r="L31" s="12">
        <v>9</v>
      </c>
      <c r="M31" s="12">
        <v>0</v>
      </c>
      <c r="N31" s="12">
        <v>0</v>
      </c>
      <c r="O31" s="12">
        <v>0</v>
      </c>
      <c r="P31" s="12">
        <v>2</v>
      </c>
      <c r="Q31" s="12">
        <v>1</v>
      </c>
      <c r="R31" s="12"/>
      <c r="S31" s="12">
        <v>1</v>
      </c>
      <c r="T31" s="12">
        <v>1</v>
      </c>
      <c r="U31" s="12">
        <v>2</v>
      </c>
      <c r="V31" s="12"/>
      <c r="W31" s="12">
        <v>6</v>
      </c>
      <c r="X31" s="12">
        <v>2</v>
      </c>
      <c r="Y31" s="12">
        <v>1</v>
      </c>
      <c r="Z31" s="12">
        <v>1</v>
      </c>
      <c r="AA31" s="12"/>
      <c r="AB31" s="12"/>
      <c r="AC31" s="12"/>
      <c r="AD31" s="12">
        <v>2</v>
      </c>
      <c r="AE31" s="12">
        <v>1</v>
      </c>
      <c r="AF31" s="12"/>
      <c r="AG31" s="12"/>
      <c r="AH31" s="12"/>
      <c r="AI31" s="12"/>
      <c r="AJ31" s="12"/>
      <c r="AK31" s="12"/>
      <c r="AL31" s="12"/>
      <c r="AM31" s="12"/>
      <c r="AN31" s="12"/>
      <c r="AO31" s="12"/>
      <c r="AP31" s="12"/>
      <c r="AQ31" s="12">
        <v>1</v>
      </c>
      <c r="AR31" s="12"/>
      <c r="AS31" s="12"/>
      <c r="AT31" s="12"/>
      <c r="AU31" s="12"/>
      <c r="AV31" s="12"/>
      <c r="AW31" s="12"/>
      <c r="AX31" s="12"/>
      <c r="AY31" s="12"/>
      <c r="AZ31" s="12"/>
      <c r="BA31" s="12"/>
      <c r="BB31" s="12"/>
      <c r="BC31" s="12"/>
      <c r="BD31" s="12"/>
      <c r="BE31" s="12">
        <v>1</v>
      </c>
      <c r="BF31" s="12">
        <v>4</v>
      </c>
      <c r="BG31" s="12">
        <v>1</v>
      </c>
      <c r="BH31" s="12">
        <v>1</v>
      </c>
      <c r="BI31" s="12">
        <v>1</v>
      </c>
      <c r="BJ31" s="12"/>
      <c r="BK31" s="12">
        <v>1</v>
      </c>
      <c r="BL31" s="12">
        <v>1</v>
      </c>
      <c r="BM31" s="12"/>
      <c r="BN31" s="12"/>
      <c r="BO31" s="12"/>
      <c r="BP31" s="12"/>
      <c r="BQ31" s="12"/>
      <c r="BR31" s="12"/>
      <c r="BS31" s="12">
        <v>2</v>
      </c>
      <c r="BT31" s="12">
        <v>0</v>
      </c>
      <c r="BU31" s="12">
        <v>1</v>
      </c>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f t="shared" si="4"/>
        <v>32</v>
      </c>
    </row>
    <row r="32" spans="1:107" x14ac:dyDescent="0.25">
      <c r="A32" s="2"/>
      <c r="B32" s="5" t="s">
        <v>83</v>
      </c>
      <c r="C32" s="16">
        <v>3</v>
      </c>
      <c r="D32" s="16">
        <v>2</v>
      </c>
      <c r="E32" s="16">
        <v>0</v>
      </c>
      <c r="F32" s="16">
        <v>0</v>
      </c>
      <c r="G32" s="12">
        <v>0</v>
      </c>
      <c r="H32" s="12">
        <v>0</v>
      </c>
      <c r="I32" s="12">
        <v>0</v>
      </c>
      <c r="J32" s="12">
        <v>1</v>
      </c>
      <c r="K32" s="12">
        <v>0</v>
      </c>
      <c r="L32" s="12">
        <v>0</v>
      </c>
      <c r="M32" s="12">
        <v>35</v>
      </c>
      <c r="N32" s="12">
        <v>17</v>
      </c>
      <c r="O32" s="12">
        <v>0</v>
      </c>
      <c r="P32" s="12">
        <v>20</v>
      </c>
      <c r="Q32" s="12">
        <v>21</v>
      </c>
      <c r="R32" s="12"/>
      <c r="S32" s="12">
        <v>38</v>
      </c>
      <c r="T32" s="12">
        <v>28</v>
      </c>
      <c r="U32" s="12">
        <v>13</v>
      </c>
      <c r="V32" s="12"/>
      <c r="W32" s="12"/>
      <c r="X32" s="12">
        <v>2</v>
      </c>
      <c r="Y32" s="12"/>
      <c r="Z32" s="12"/>
      <c r="AA32" s="12"/>
      <c r="AB32" s="12"/>
      <c r="AC32" s="12"/>
      <c r="AD32" s="12"/>
      <c r="AE32" s="12"/>
      <c r="AF32" s="12"/>
      <c r="AG32" s="12"/>
      <c r="AH32" s="12"/>
      <c r="AI32" s="12">
        <v>1</v>
      </c>
      <c r="AJ32" s="12">
        <v>1</v>
      </c>
      <c r="AK32" s="12"/>
      <c r="AL32" s="12"/>
      <c r="AM32" s="12"/>
      <c r="AN32" s="12">
        <v>7</v>
      </c>
      <c r="AO32" s="12">
        <v>12</v>
      </c>
      <c r="AP32" s="12"/>
      <c r="AQ32" s="12"/>
      <c r="AR32" s="12"/>
      <c r="AS32" s="12"/>
      <c r="AT32" s="12">
        <v>1</v>
      </c>
      <c r="AU32" s="12">
        <v>2</v>
      </c>
      <c r="AV32" s="12"/>
      <c r="AW32" s="12"/>
      <c r="AX32" s="12"/>
      <c r="AY32" s="12"/>
      <c r="AZ32" s="12">
        <v>2</v>
      </c>
      <c r="BA32" s="12"/>
      <c r="BB32" s="12"/>
      <c r="BC32" s="12"/>
      <c r="BD32" s="12">
        <v>1</v>
      </c>
      <c r="BE32" s="12">
        <v>9</v>
      </c>
      <c r="BF32" s="12">
        <v>19</v>
      </c>
      <c r="BG32" s="12">
        <v>11</v>
      </c>
      <c r="BH32" s="12">
        <v>2</v>
      </c>
      <c r="BI32" s="12">
        <v>12</v>
      </c>
      <c r="BJ32" s="12">
        <v>6</v>
      </c>
      <c r="BK32" s="12">
        <v>3</v>
      </c>
      <c r="BL32" s="12"/>
      <c r="BM32" s="12"/>
      <c r="BN32" s="12">
        <v>1</v>
      </c>
      <c r="BO32" s="12"/>
      <c r="BP32" s="12">
        <v>16</v>
      </c>
      <c r="BQ32" s="12">
        <v>2</v>
      </c>
      <c r="BR32" s="12"/>
      <c r="BS32" s="12">
        <v>5</v>
      </c>
      <c r="BT32" s="12">
        <v>28</v>
      </c>
      <c r="BU32" s="12">
        <v>7</v>
      </c>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f t="shared" si="4"/>
        <v>250</v>
      </c>
    </row>
    <row r="33" spans="1:107" x14ac:dyDescent="0.25">
      <c r="A33" s="2"/>
      <c r="B33" s="4" t="s">
        <v>109</v>
      </c>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2"/>
      <c r="CY33" s="12"/>
      <c r="CZ33" s="12"/>
      <c r="DA33" s="12"/>
      <c r="DB33" s="12"/>
    </row>
    <row r="34" spans="1:107" x14ac:dyDescent="0.25">
      <c r="A34" s="2"/>
      <c r="B34" s="5" t="s">
        <v>203</v>
      </c>
      <c r="C34" s="16">
        <f t="shared" ref="C34:AH34" si="5">SUM(C28:C33)</f>
        <v>28</v>
      </c>
      <c r="D34" s="16">
        <f t="shared" si="5"/>
        <v>175</v>
      </c>
      <c r="E34" s="16">
        <f t="shared" si="5"/>
        <v>103</v>
      </c>
      <c r="F34" s="16">
        <f t="shared" si="5"/>
        <v>8</v>
      </c>
      <c r="G34" s="16">
        <f t="shared" si="5"/>
        <v>104</v>
      </c>
      <c r="H34" s="16">
        <f t="shared" si="5"/>
        <v>82</v>
      </c>
      <c r="I34" s="16">
        <f t="shared" si="5"/>
        <v>34</v>
      </c>
      <c r="J34" s="16">
        <f t="shared" si="5"/>
        <v>116</v>
      </c>
      <c r="K34" s="16">
        <f t="shared" si="5"/>
        <v>89</v>
      </c>
      <c r="L34" s="16">
        <f t="shared" si="5"/>
        <v>91</v>
      </c>
      <c r="M34" s="16">
        <f t="shared" si="5"/>
        <v>407</v>
      </c>
      <c r="N34" s="16">
        <f t="shared" si="5"/>
        <v>172</v>
      </c>
      <c r="O34" s="16">
        <f t="shared" si="5"/>
        <v>82</v>
      </c>
      <c r="P34" s="16">
        <f t="shared" si="5"/>
        <v>255</v>
      </c>
      <c r="Q34" s="16">
        <f t="shared" si="5"/>
        <v>196</v>
      </c>
      <c r="R34" s="16">
        <f t="shared" si="5"/>
        <v>124</v>
      </c>
      <c r="S34" s="16">
        <f t="shared" si="5"/>
        <v>97</v>
      </c>
      <c r="T34" s="16">
        <f t="shared" si="5"/>
        <v>208</v>
      </c>
      <c r="U34" s="16">
        <f t="shared" si="5"/>
        <v>165</v>
      </c>
      <c r="V34" s="16">
        <f t="shared" si="5"/>
        <v>119</v>
      </c>
      <c r="W34" s="16">
        <f t="shared" si="5"/>
        <v>197</v>
      </c>
      <c r="X34" s="16">
        <f t="shared" si="5"/>
        <v>128</v>
      </c>
      <c r="Y34" s="16">
        <f t="shared" si="5"/>
        <v>94</v>
      </c>
      <c r="Z34" s="16">
        <f t="shared" si="5"/>
        <v>161</v>
      </c>
      <c r="AA34" s="16">
        <f t="shared" si="5"/>
        <v>93</v>
      </c>
      <c r="AB34" s="16">
        <f t="shared" si="5"/>
        <v>126</v>
      </c>
      <c r="AC34" s="16">
        <f t="shared" si="5"/>
        <v>116</v>
      </c>
      <c r="AD34" s="16">
        <f t="shared" si="5"/>
        <v>60</v>
      </c>
      <c r="AE34" s="16">
        <f t="shared" si="5"/>
        <v>91</v>
      </c>
      <c r="AF34" s="16">
        <f t="shared" si="5"/>
        <v>49</v>
      </c>
      <c r="AG34" s="16">
        <f t="shared" si="5"/>
        <v>58</v>
      </c>
      <c r="AH34" s="16">
        <f t="shared" si="5"/>
        <v>29</v>
      </c>
      <c r="AI34" s="16">
        <f t="shared" ref="AI34:BN34" si="6">SUM(AI28:AI33)</f>
        <v>191</v>
      </c>
      <c r="AJ34" s="16">
        <f t="shared" si="6"/>
        <v>128</v>
      </c>
      <c r="AK34" s="16">
        <f t="shared" si="6"/>
        <v>121</v>
      </c>
      <c r="AL34" s="16">
        <f t="shared" si="6"/>
        <v>123</v>
      </c>
      <c r="AM34" s="16">
        <f t="shared" si="6"/>
        <v>130</v>
      </c>
      <c r="AN34" s="16">
        <f t="shared" si="6"/>
        <v>241</v>
      </c>
      <c r="AO34" s="16">
        <f t="shared" si="6"/>
        <v>227</v>
      </c>
      <c r="AP34" s="16">
        <f t="shared" si="6"/>
        <v>211</v>
      </c>
      <c r="AQ34" s="16">
        <f t="shared" si="6"/>
        <v>205</v>
      </c>
      <c r="AR34" s="16">
        <f t="shared" si="6"/>
        <v>161</v>
      </c>
      <c r="AS34" s="16">
        <f t="shared" si="6"/>
        <v>121</v>
      </c>
      <c r="AT34" s="16">
        <f t="shared" si="6"/>
        <v>101</v>
      </c>
      <c r="AU34" s="16">
        <f t="shared" si="6"/>
        <v>94</v>
      </c>
      <c r="AV34" s="16">
        <f t="shared" si="6"/>
        <v>123</v>
      </c>
      <c r="AW34" s="16">
        <f t="shared" si="6"/>
        <v>211</v>
      </c>
      <c r="AX34" s="16">
        <f t="shared" si="6"/>
        <v>17</v>
      </c>
      <c r="AY34" s="16">
        <f t="shared" si="6"/>
        <v>69</v>
      </c>
      <c r="AZ34" s="16">
        <f t="shared" si="6"/>
        <v>45</v>
      </c>
      <c r="BA34" s="16">
        <f t="shared" si="6"/>
        <v>15</v>
      </c>
      <c r="BB34" s="16">
        <f t="shared" si="6"/>
        <v>31</v>
      </c>
      <c r="BC34" s="16">
        <f t="shared" si="6"/>
        <v>43</v>
      </c>
      <c r="BD34" s="16">
        <f t="shared" si="6"/>
        <v>136</v>
      </c>
      <c r="BE34" s="16">
        <f t="shared" si="6"/>
        <v>374</v>
      </c>
      <c r="BF34" s="16">
        <f t="shared" si="6"/>
        <v>341</v>
      </c>
      <c r="BG34" s="16">
        <f t="shared" si="6"/>
        <v>193</v>
      </c>
      <c r="BH34" s="16">
        <f t="shared" si="6"/>
        <v>227</v>
      </c>
      <c r="BI34" s="16">
        <f t="shared" si="6"/>
        <v>191</v>
      </c>
      <c r="BJ34" s="16">
        <f t="shared" si="6"/>
        <v>230</v>
      </c>
      <c r="BK34" s="16">
        <f t="shared" si="6"/>
        <v>328</v>
      </c>
      <c r="BL34" s="16">
        <f t="shared" si="6"/>
        <v>195</v>
      </c>
      <c r="BM34" s="16">
        <f t="shared" si="6"/>
        <v>204</v>
      </c>
      <c r="BN34" s="16">
        <f t="shared" si="6"/>
        <v>132</v>
      </c>
      <c r="BO34" s="16">
        <f t="shared" ref="BO34:CT34" si="7">SUM(BO28:BO33)</f>
        <v>156</v>
      </c>
      <c r="BP34" s="16">
        <f t="shared" si="7"/>
        <v>196</v>
      </c>
      <c r="BQ34" s="16">
        <f t="shared" si="7"/>
        <v>168</v>
      </c>
      <c r="BR34" s="16">
        <f t="shared" si="7"/>
        <v>186</v>
      </c>
      <c r="BS34" s="16">
        <f t="shared" si="7"/>
        <v>214</v>
      </c>
      <c r="BT34" s="16">
        <f t="shared" si="7"/>
        <v>198</v>
      </c>
      <c r="BU34" s="16">
        <f t="shared" si="7"/>
        <v>220</v>
      </c>
      <c r="BV34" s="16">
        <f t="shared" si="7"/>
        <v>131</v>
      </c>
      <c r="BW34" s="16">
        <f t="shared" si="7"/>
        <v>100</v>
      </c>
      <c r="BX34" s="16">
        <f t="shared" si="7"/>
        <v>0</v>
      </c>
      <c r="BY34" s="16">
        <f t="shared" si="7"/>
        <v>0</v>
      </c>
      <c r="BZ34" s="16">
        <f t="shared" si="7"/>
        <v>0</v>
      </c>
      <c r="CA34" s="16">
        <f t="shared" si="7"/>
        <v>0</v>
      </c>
      <c r="CB34" s="16">
        <f t="shared" si="7"/>
        <v>0</v>
      </c>
      <c r="CC34" s="16">
        <f t="shared" si="7"/>
        <v>0</v>
      </c>
      <c r="CD34" s="16">
        <f t="shared" si="7"/>
        <v>0</v>
      </c>
      <c r="CE34" s="16">
        <f t="shared" si="7"/>
        <v>0</v>
      </c>
      <c r="CF34" s="16">
        <f t="shared" si="7"/>
        <v>0</v>
      </c>
      <c r="CG34" s="16">
        <f t="shared" si="7"/>
        <v>0</v>
      </c>
      <c r="CH34" s="16">
        <f t="shared" si="7"/>
        <v>0</v>
      </c>
      <c r="CI34" s="16">
        <f t="shared" si="7"/>
        <v>0</v>
      </c>
      <c r="CJ34" s="16">
        <f t="shared" si="7"/>
        <v>0</v>
      </c>
      <c r="CK34" s="16">
        <f t="shared" si="7"/>
        <v>0</v>
      </c>
      <c r="CL34" s="16">
        <f t="shared" si="7"/>
        <v>0</v>
      </c>
      <c r="CM34" s="16">
        <f t="shared" si="7"/>
        <v>0</v>
      </c>
      <c r="CN34" s="16">
        <f t="shared" si="7"/>
        <v>0</v>
      </c>
      <c r="CO34" s="16">
        <f t="shared" si="7"/>
        <v>0</v>
      </c>
      <c r="CP34" s="16">
        <f t="shared" si="7"/>
        <v>0</v>
      </c>
      <c r="CQ34" s="16">
        <f t="shared" si="7"/>
        <v>0</v>
      </c>
      <c r="CR34" s="16">
        <f t="shared" si="7"/>
        <v>0</v>
      </c>
      <c r="CS34" s="16">
        <f t="shared" si="7"/>
        <v>0</v>
      </c>
      <c r="CT34" s="16">
        <f t="shared" si="7"/>
        <v>0</v>
      </c>
      <c r="CU34" s="16">
        <f t="shared" ref="CU34:DB34" si="8">SUM(CU28:CU33)</f>
        <v>0</v>
      </c>
      <c r="CV34" s="16">
        <f t="shared" si="8"/>
        <v>0</v>
      </c>
      <c r="CW34" s="16">
        <f t="shared" si="8"/>
        <v>0</v>
      </c>
      <c r="CX34" s="16">
        <f t="shared" si="8"/>
        <v>0</v>
      </c>
      <c r="CY34" s="16">
        <f t="shared" si="8"/>
        <v>0</v>
      </c>
      <c r="CZ34" s="16">
        <f t="shared" si="8"/>
        <v>0</v>
      </c>
      <c r="DA34" s="16">
        <f t="shared" si="8"/>
        <v>0</v>
      </c>
      <c r="DB34" s="16">
        <f t="shared" si="8"/>
        <v>0</v>
      </c>
      <c r="DC34" s="16">
        <f>SUM(DC22:DC32)</f>
        <v>38821</v>
      </c>
    </row>
    <row r="35" spans="1:107" ht="30" x14ac:dyDescent="0.25">
      <c r="A35" s="2" t="s">
        <v>110</v>
      </c>
      <c r="B35" s="3" t="s">
        <v>111</v>
      </c>
      <c r="C35" s="17">
        <v>0.99</v>
      </c>
      <c r="D35" s="18">
        <v>0.99</v>
      </c>
      <c r="E35" s="19">
        <v>0.9909</v>
      </c>
      <c r="F35" s="19">
        <v>0.9708</v>
      </c>
      <c r="G35" s="19">
        <v>0.97989999999999999</v>
      </c>
      <c r="H35" s="18">
        <v>1</v>
      </c>
      <c r="I35" s="19">
        <v>0.98609999999999998</v>
      </c>
      <c r="J35" s="19">
        <v>0.94099999999999995</v>
      </c>
      <c r="K35" s="18">
        <v>0.95</v>
      </c>
      <c r="L35" s="19">
        <v>0.95699999999999996</v>
      </c>
      <c r="M35" s="19">
        <v>0.95350000000000001</v>
      </c>
      <c r="N35" s="19">
        <v>0.96640000000000004</v>
      </c>
      <c r="O35" s="19">
        <v>0.90200000000000002</v>
      </c>
      <c r="P35" s="18">
        <v>0.96</v>
      </c>
      <c r="Q35" s="12">
        <v>97.33</v>
      </c>
      <c r="R35" s="12">
        <v>98.24</v>
      </c>
      <c r="S35" s="12">
        <v>98.8</v>
      </c>
      <c r="T35" s="12">
        <v>98</v>
      </c>
      <c r="U35" s="12">
        <v>98.2</v>
      </c>
      <c r="V35" s="12">
        <v>99.07</v>
      </c>
      <c r="W35" s="12">
        <v>98</v>
      </c>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row>
    <row r="36" spans="1:107" ht="30" x14ac:dyDescent="0.25">
      <c r="A36" s="2" t="s">
        <v>114</v>
      </c>
      <c r="B36" s="3" t="s">
        <v>115</v>
      </c>
      <c r="C36" s="12">
        <f t="shared" ref="C36:AH36" si="9">AVERAGE(C37:C48)</f>
        <v>1.7742857142857145</v>
      </c>
      <c r="D36" s="12">
        <f t="shared" si="9"/>
        <v>1.4500000000000002</v>
      </c>
      <c r="E36" s="12">
        <f t="shared" si="9"/>
        <v>1.5349999999999997</v>
      </c>
      <c r="F36" s="12">
        <f t="shared" si="9"/>
        <v>1.4949999999999999</v>
      </c>
      <c r="G36" s="12">
        <f t="shared" si="9"/>
        <v>1.45</v>
      </c>
      <c r="H36" s="12">
        <f t="shared" si="9"/>
        <v>1.8014285714285714</v>
      </c>
      <c r="I36" s="12">
        <f t="shared" si="9"/>
        <v>1.3677777777777775</v>
      </c>
      <c r="J36" s="12">
        <f t="shared" si="9"/>
        <v>2.2979999999999996</v>
      </c>
      <c r="K36" s="12">
        <f t="shared" si="9"/>
        <v>1.3849999999999998</v>
      </c>
      <c r="L36" s="12">
        <f t="shared" si="9"/>
        <v>1.2537499999999999</v>
      </c>
      <c r="M36" s="12">
        <f t="shared" si="9"/>
        <v>1.1922222222222223</v>
      </c>
      <c r="N36" s="12">
        <f t="shared" si="9"/>
        <v>1.0037500000000001</v>
      </c>
      <c r="O36" s="12">
        <f t="shared" si="9"/>
        <v>1.107142857142857</v>
      </c>
      <c r="P36" s="12">
        <f t="shared" si="9"/>
        <v>1.04</v>
      </c>
      <c r="Q36" s="12">
        <f t="shared" si="9"/>
        <v>1.1287500000000001</v>
      </c>
      <c r="R36" s="12">
        <f t="shared" si="9"/>
        <v>1.23</v>
      </c>
      <c r="S36" s="12">
        <f t="shared" si="9"/>
        <v>1.5174999999999998</v>
      </c>
      <c r="T36" s="12">
        <f t="shared" si="9"/>
        <v>1.2190000000000001</v>
      </c>
      <c r="U36" s="12">
        <f t="shared" si="9"/>
        <v>1.4533333333333334</v>
      </c>
      <c r="V36" s="12">
        <f t="shared" si="9"/>
        <v>1.2585714285714287</v>
      </c>
      <c r="W36" s="12">
        <f t="shared" si="9"/>
        <v>1.05</v>
      </c>
      <c r="X36" s="12">
        <f t="shared" si="9"/>
        <v>1.151111111111111</v>
      </c>
      <c r="Y36" s="12">
        <f t="shared" si="9"/>
        <v>0.97444444444444456</v>
      </c>
      <c r="Z36" s="12">
        <f t="shared" si="9"/>
        <v>1.2529999999999999</v>
      </c>
      <c r="AA36" s="12">
        <f t="shared" si="9"/>
        <v>1.6688888888888891</v>
      </c>
      <c r="AB36" s="12">
        <f t="shared" si="9"/>
        <v>1.6012500000000001</v>
      </c>
      <c r="AC36" s="12">
        <f t="shared" si="9"/>
        <v>1.1177777777777775</v>
      </c>
      <c r="AD36" s="12">
        <f t="shared" si="9"/>
        <v>1.4333333333333333</v>
      </c>
      <c r="AE36" s="12">
        <f t="shared" si="9"/>
        <v>0.93999999999999984</v>
      </c>
      <c r="AF36" s="12">
        <f t="shared" si="9"/>
        <v>1.1569999999999998</v>
      </c>
      <c r="AG36" s="12">
        <f t="shared" si="9"/>
        <v>1.178181818181818</v>
      </c>
      <c r="AH36" s="12">
        <f t="shared" si="9"/>
        <v>2.1433333333333335</v>
      </c>
      <c r="AI36" s="12">
        <f t="shared" ref="AI36:BN36" si="10">AVERAGE(AI37:AI48)</f>
        <v>1.5888888888888888</v>
      </c>
      <c r="AJ36" s="12">
        <f t="shared" si="10"/>
        <v>1.6514285714285715</v>
      </c>
      <c r="AK36" s="12">
        <f t="shared" si="10"/>
        <v>1.3811111111111112</v>
      </c>
      <c r="AL36" s="12">
        <f t="shared" si="10"/>
        <v>1.226</v>
      </c>
      <c r="AM36" s="12">
        <f t="shared" si="10"/>
        <v>2.1311111111111112</v>
      </c>
      <c r="AN36" s="12">
        <f t="shared" si="10"/>
        <v>2.1225000000000001</v>
      </c>
      <c r="AO36" s="12">
        <f t="shared" si="10"/>
        <v>2.2233333333333332</v>
      </c>
      <c r="AP36" s="12">
        <f t="shared" si="10"/>
        <v>2.3075000000000001</v>
      </c>
      <c r="AQ36" s="12">
        <f t="shared" si="10"/>
        <v>2.1644444444444448</v>
      </c>
      <c r="AR36" s="12">
        <f t="shared" si="10"/>
        <v>2.3933333333333335</v>
      </c>
      <c r="AS36" s="12">
        <f t="shared" si="10"/>
        <v>2.3649999999999998</v>
      </c>
      <c r="AT36" s="12">
        <f t="shared" si="10"/>
        <v>2.2122222222222216</v>
      </c>
      <c r="AU36" s="12">
        <f t="shared" si="10"/>
        <v>2.0589999999999997</v>
      </c>
      <c r="AV36" s="12">
        <f t="shared" si="10"/>
        <v>2.6533333333333338</v>
      </c>
      <c r="AW36" s="12">
        <f t="shared" si="10"/>
        <v>2.5900000000000003</v>
      </c>
      <c r="AX36" s="12">
        <f t="shared" si="10"/>
        <v>2.0133333333333332</v>
      </c>
      <c r="AY36" s="12">
        <f t="shared" si="10"/>
        <v>2.2339999999999995</v>
      </c>
      <c r="AZ36" s="12">
        <f t="shared" si="10"/>
        <v>2.355454545454545</v>
      </c>
      <c r="BA36" s="12">
        <f t="shared" si="10"/>
        <v>2.6687500000000002</v>
      </c>
      <c r="BB36" s="12" t="e">
        <f t="shared" si="10"/>
        <v>#DIV/0!</v>
      </c>
      <c r="BC36" s="12" t="e">
        <f t="shared" si="10"/>
        <v>#DIV/0!</v>
      </c>
      <c r="BD36" s="12">
        <f t="shared" si="10"/>
        <v>2.9454545454545453</v>
      </c>
      <c r="BE36" s="12">
        <f t="shared" si="10"/>
        <v>1.919090909090909</v>
      </c>
      <c r="BF36" s="12">
        <f t="shared" si="10"/>
        <v>2.3045454545454542</v>
      </c>
      <c r="BG36" s="12">
        <f t="shared" si="10"/>
        <v>2.5019999999999998</v>
      </c>
      <c r="BH36" s="12">
        <f t="shared" si="10"/>
        <v>2.4583333333333335</v>
      </c>
      <c r="BI36" s="12">
        <f t="shared" si="10"/>
        <v>2.2927272727272729</v>
      </c>
      <c r="BJ36" s="12">
        <f t="shared" si="10"/>
        <v>1.6383333333333334</v>
      </c>
      <c r="BK36" s="12">
        <f t="shared" si="10"/>
        <v>1.2849999999999999</v>
      </c>
      <c r="BL36" s="12">
        <f t="shared" si="10"/>
        <v>1.4090909090909087</v>
      </c>
      <c r="BM36" s="12">
        <f t="shared" si="10"/>
        <v>1.891111111111111</v>
      </c>
      <c r="BN36" s="12">
        <f t="shared" si="10"/>
        <v>1.4527272727272729</v>
      </c>
      <c r="BO36" s="12">
        <f t="shared" ref="BO36:CT36" si="11">AVERAGE(BO37:BO48)</f>
        <v>2.2111111111111112</v>
      </c>
      <c r="BP36" s="12">
        <f t="shared" si="11"/>
        <v>1.6872727272727273</v>
      </c>
      <c r="BQ36" s="12">
        <f t="shared" si="11"/>
        <v>1.3688888888888888</v>
      </c>
      <c r="BR36" s="12">
        <f t="shared" si="11"/>
        <v>2.4125000000000005</v>
      </c>
      <c r="BS36" s="12">
        <f t="shared" si="11"/>
        <v>2.4716666666666667</v>
      </c>
      <c r="BT36" s="12">
        <f t="shared" si="11"/>
        <v>1.4590000000000001</v>
      </c>
      <c r="BU36" s="12">
        <f t="shared" si="11"/>
        <v>1.5680000000000001</v>
      </c>
      <c r="BV36" s="12">
        <f t="shared" si="11"/>
        <v>2.4570000000000003</v>
      </c>
      <c r="BW36" s="12">
        <f t="shared" si="11"/>
        <v>2.2655555555555558</v>
      </c>
      <c r="BX36" s="12" t="e">
        <f t="shared" si="11"/>
        <v>#DIV/0!</v>
      </c>
      <c r="BY36" s="12" t="e">
        <f t="shared" si="11"/>
        <v>#DIV/0!</v>
      </c>
      <c r="BZ36" s="12" t="e">
        <f t="shared" si="11"/>
        <v>#DIV/0!</v>
      </c>
      <c r="CA36" s="12" t="e">
        <f t="shared" si="11"/>
        <v>#DIV/0!</v>
      </c>
      <c r="CB36" s="12" t="e">
        <f t="shared" si="11"/>
        <v>#DIV/0!</v>
      </c>
      <c r="CC36" s="12" t="e">
        <f t="shared" si="11"/>
        <v>#DIV/0!</v>
      </c>
      <c r="CD36" s="12" t="e">
        <f t="shared" si="11"/>
        <v>#DIV/0!</v>
      </c>
      <c r="CE36" s="12" t="e">
        <f t="shared" si="11"/>
        <v>#DIV/0!</v>
      </c>
      <c r="CF36" s="12" t="e">
        <f t="shared" si="11"/>
        <v>#DIV/0!</v>
      </c>
      <c r="CG36" s="12" t="e">
        <f t="shared" si="11"/>
        <v>#DIV/0!</v>
      </c>
      <c r="CH36" s="12" t="e">
        <f t="shared" si="11"/>
        <v>#DIV/0!</v>
      </c>
      <c r="CI36" s="12" t="e">
        <f t="shared" si="11"/>
        <v>#DIV/0!</v>
      </c>
      <c r="CJ36" s="12" t="e">
        <f t="shared" si="11"/>
        <v>#DIV/0!</v>
      </c>
      <c r="CK36" s="12" t="e">
        <f t="shared" si="11"/>
        <v>#DIV/0!</v>
      </c>
      <c r="CL36" s="12" t="e">
        <f t="shared" si="11"/>
        <v>#DIV/0!</v>
      </c>
      <c r="CM36" s="12" t="e">
        <f t="shared" si="11"/>
        <v>#DIV/0!</v>
      </c>
      <c r="CN36" s="12" t="e">
        <f t="shared" si="11"/>
        <v>#DIV/0!</v>
      </c>
      <c r="CO36" s="12" t="e">
        <f t="shared" si="11"/>
        <v>#DIV/0!</v>
      </c>
      <c r="CP36" s="12" t="e">
        <f t="shared" si="11"/>
        <v>#DIV/0!</v>
      </c>
      <c r="CQ36" s="12" t="e">
        <f t="shared" si="11"/>
        <v>#DIV/0!</v>
      </c>
      <c r="CR36" s="12" t="e">
        <f t="shared" si="11"/>
        <v>#DIV/0!</v>
      </c>
      <c r="CS36" s="12" t="e">
        <f t="shared" si="11"/>
        <v>#DIV/0!</v>
      </c>
      <c r="CT36" s="12" t="e">
        <f t="shared" si="11"/>
        <v>#DIV/0!</v>
      </c>
      <c r="CU36" s="12" t="e">
        <f t="shared" ref="CU36:DB36" si="12">AVERAGE(CU37:CU48)</f>
        <v>#DIV/0!</v>
      </c>
      <c r="CV36" s="12" t="e">
        <f t="shared" si="12"/>
        <v>#DIV/0!</v>
      </c>
      <c r="CW36" s="12" t="e">
        <f t="shared" si="12"/>
        <v>#DIV/0!</v>
      </c>
      <c r="CX36" s="12" t="e">
        <f t="shared" si="12"/>
        <v>#DIV/0!</v>
      </c>
      <c r="CY36" s="12" t="e">
        <f t="shared" si="12"/>
        <v>#DIV/0!</v>
      </c>
      <c r="CZ36" s="12" t="e">
        <f t="shared" si="12"/>
        <v>#DIV/0!</v>
      </c>
      <c r="DA36" s="12" t="e">
        <f t="shared" si="12"/>
        <v>#DIV/0!</v>
      </c>
      <c r="DB36" s="12" t="e">
        <f t="shared" si="12"/>
        <v>#DIV/0!</v>
      </c>
    </row>
    <row r="37" spans="1:107" x14ac:dyDescent="0.25">
      <c r="A37" s="2"/>
      <c r="B37" s="5" t="s">
        <v>61</v>
      </c>
      <c r="C37" s="20">
        <v>2.12</v>
      </c>
      <c r="D37" s="20">
        <v>2.56</v>
      </c>
      <c r="E37" s="20">
        <v>2.79</v>
      </c>
      <c r="F37" s="20">
        <v>2.02</v>
      </c>
      <c r="G37" s="20">
        <v>2.97</v>
      </c>
      <c r="H37" s="20">
        <v>2.2400000000000002</v>
      </c>
      <c r="I37" s="20">
        <v>2.67</v>
      </c>
      <c r="J37" s="20">
        <v>2.75</v>
      </c>
      <c r="K37" s="20">
        <v>2.17</v>
      </c>
      <c r="L37" s="20">
        <v>2.64</v>
      </c>
      <c r="M37" s="20">
        <v>1</v>
      </c>
      <c r="N37" s="20">
        <v>1.1200000000000001</v>
      </c>
      <c r="O37" s="20">
        <v>1.9</v>
      </c>
      <c r="P37" s="20">
        <v>1.69</v>
      </c>
      <c r="Q37" s="20">
        <v>1.5</v>
      </c>
      <c r="R37" s="20">
        <v>1.38</v>
      </c>
      <c r="S37" s="20">
        <v>1.65</v>
      </c>
      <c r="T37" s="20">
        <v>1.54</v>
      </c>
      <c r="U37" s="20">
        <v>2.12</v>
      </c>
      <c r="V37" s="20">
        <v>1.64</v>
      </c>
      <c r="W37" s="20">
        <v>1.67</v>
      </c>
      <c r="X37" s="20">
        <v>1.1299999999999999</v>
      </c>
      <c r="Y37" s="20">
        <v>1.55</v>
      </c>
      <c r="Z37" s="20">
        <v>1.2</v>
      </c>
      <c r="AA37" s="20">
        <v>3.18</v>
      </c>
      <c r="AB37" s="20">
        <v>3.7</v>
      </c>
      <c r="AC37" s="20">
        <v>2</v>
      </c>
      <c r="AD37" s="20">
        <v>2.5</v>
      </c>
      <c r="AE37" s="20">
        <v>1.7</v>
      </c>
      <c r="AF37" s="20">
        <v>1.93</v>
      </c>
      <c r="AG37" s="20">
        <v>3.01</v>
      </c>
      <c r="AH37" s="20">
        <v>5.74</v>
      </c>
      <c r="AI37" s="20">
        <v>4.5</v>
      </c>
      <c r="AJ37" s="20">
        <v>4.34</v>
      </c>
      <c r="AK37" s="20">
        <v>2.82</v>
      </c>
      <c r="AL37" s="20">
        <v>2.99</v>
      </c>
      <c r="AM37" s="20">
        <v>4.7</v>
      </c>
      <c r="AN37" s="20">
        <v>2.27</v>
      </c>
      <c r="AO37" s="20">
        <v>2.6</v>
      </c>
      <c r="AP37" s="20">
        <v>2.2599999999999998</v>
      </c>
      <c r="AQ37" s="20">
        <v>2.06</v>
      </c>
      <c r="AR37" s="20">
        <v>2.61</v>
      </c>
      <c r="AS37" s="20">
        <v>2.0099999999999998</v>
      </c>
      <c r="AT37" s="20">
        <v>2.25</v>
      </c>
      <c r="AU37" s="20">
        <v>2.64</v>
      </c>
      <c r="AV37" s="20">
        <v>2.96</v>
      </c>
      <c r="AW37" s="20">
        <v>2.13</v>
      </c>
      <c r="AX37" s="20">
        <v>2.08</v>
      </c>
      <c r="AY37" s="20">
        <v>2.61</v>
      </c>
      <c r="AZ37" s="20">
        <v>2.35</v>
      </c>
      <c r="BA37" s="20">
        <v>2.2999999999999998</v>
      </c>
      <c r="BB37" s="20" t="s">
        <v>206</v>
      </c>
      <c r="BC37" s="20" t="s">
        <v>206</v>
      </c>
      <c r="BD37">
        <v>3.2</v>
      </c>
      <c r="BE37">
        <v>1.1200000000000001</v>
      </c>
      <c r="BF37">
        <v>0.9</v>
      </c>
      <c r="BG37">
        <v>2.83</v>
      </c>
      <c r="BH37">
        <v>1.63</v>
      </c>
      <c r="BI37">
        <v>0.56999999999999995</v>
      </c>
      <c r="BJ37">
        <v>1.25</v>
      </c>
      <c r="BK37">
        <v>1.01</v>
      </c>
      <c r="BL37">
        <v>1.55</v>
      </c>
      <c r="BM37">
        <v>1.63</v>
      </c>
      <c r="BN37">
        <v>1.33</v>
      </c>
      <c r="BO37">
        <v>2.02</v>
      </c>
      <c r="BP37">
        <v>1.65</v>
      </c>
      <c r="BQ37">
        <v>1.3</v>
      </c>
      <c r="BR37">
        <v>2.25</v>
      </c>
      <c r="BS37">
        <v>2.02</v>
      </c>
      <c r="BT37">
        <v>1.75</v>
      </c>
      <c r="BU37">
        <v>1.04</v>
      </c>
      <c r="BV37">
        <v>0.74</v>
      </c>
      <c r="BW37">
        <v>1.0900000000000001</v>
      </c>
    </row>
    <row r="38" spans="1:107" x14ac:dyDescent="0.25">
      <c r="A38" s="2"/>
      <c r="B38" s="5" t="s">
        <v>105</v>
      </c>
      <c r="C38" s="20"/>
      <c r="D38" s="20">
        <v>1</v>
      </c>
      <c r="E38" s="20">
        <v>1.27</v>
      </c>
      <c r="F38" s="20">
        <v>1.17</v>
      </c>
      <c r="G38" s="20">
        <v>1.1100000000000001</v>
      </c>
      <c r="H38" s="20">
        <v>1.06</v>
      </c>
      <c r="I38" s="20">
        <v>1.32</v>
      </c>
      <c r="J38" s="20">
        <v>1.04</v>
      </c>
      <c r="K38" s="20">
        <v>1.04</v>
      </c>
      <c r="L38" s="20">
        <v>1.03</v>
      </c>
      <c r="M38" s="20">
        <v>0.78</v>
      </c>
      <c r="N38" s="20">
        <v>1.06</v>
      </c>
      <c r="O38" s="20">
        <v>1.03</v>
      </c>
      <c r="P38" s="20">
        <v>1.01</v>
      </c>
      <c r="Q38" s="20">
        <v>1.03</v>
      </c>
      <c r="R38" s="20">
        <v>1.26</v>
      </c>
      <c r="S38" s="20">
        <v>1.1200000000000001</v>
      </c>
      <c r="T38" s="20">
        <v>1.25</v>
      </c>
      <c r="U38" s="20">
        <v>1.1200000000000001</v>
      </c>
      <c r="V38" s="20">
        <v>1.08</v>
      </c>
      <c r="W38" s="20">
        <v>1.49</v>
      </c>
      <c r="X38" s="20">
        <v>1.51</v>
      </c>
      <c r="Y38" s="20">
        <v>1.21</v>
      </c>
      <c r="Z38" s="20">
        <v>3.12</v>
      </c>
      <c r="AA38" s="20">
        <v>2.97</v>
      </c>
      <c r="AB38" s="20">
        <v>1.63</v>
      </c>
      <c r="AC38" s="20"/>
      <c r="AD38" s="20">
        <v>1.3</v>
      </c>
      <c r="AE38" s="20">
        <v>1.4</v>
      </c>
      <c r="AF38" s="20">
        <v>1.34</v>
      </c>
      <c r="AG38" s="20">
        <v>1.35</v>
      </c>
      <c r="AH38" s="20">
        <v>1.57</v>
      </c>
      <c r="AI38" s="20">
        <v>1.47</v>
      </c>
      <c r="AJ38" s="20">
        <v>1.18</v>
      </c>
      <c r="AK38" s="20">
        <v>1.46</v>
      </c>
      <c r="AL38" s="20">
        <v>1.7</v>
      </c>
      <c r="AM38" s="20">
        <v>1.44</v>
      </c>
      <c r="AN38" s="20"/>
      <c r="AO38" s="20">
        <v>1.26</v>
      </c>
      <c r="AP38" s="20"/>
      <c r="AQ38" s="20">
        <v>1.52</v>
      </c>
      <c r="AR38" s="20">
        <v>1.47</v>
      </c>
      <c r="AS38" s="20">
        <v>1.62</v>
      </c>
      <c r="AT38" s="20">
        <v>1.4</v>
      </c>
      <c r="AU38" s="20">
        <v>1.26</v>
      </c>
      <c r="AV38" s="20">
        <v>1.5</v>
      </c>
      <c r="AW38" s="20">
        <v>1.7</v>
      </c>
      <c r="AX38" s="20">
        <v>1.8</v>
      </c>
      <c r="AY38" s="20">
        <v>1.98</v>
      </c>
      <c r="AZ38" s="20">
        <v>2.2000000000000002</v>
      </c>
      <c r="BA38" s="20">
        <v>2.4</v>
      </c>
      <c r="BB38" s="20" t="s">
        <v>206</v>
      </c>
      <c r="BC38" s="20" t="s">
        <v>206</v>
      </c>
      <c r="BD38">
        <v>2.17</v>
      </c>
      <c r="BE38">
        <v>1.4</v>
      </c>
      <c r="BF38">
        <v>2.3199999999999998</v>
      </c>
      <c r="BG38">
        <v>2.98</v>
      </c>
      <c r="BH38">
        <v>3.4</v>
      </c>
      <c r="BI38">
        <v>4.25</v>
      </c>
      <c r="BJ38">
        <v>1</v>
      </c>
      <c r="BK38">
        <v>1.7</v>
      </c>
      <c r="BL38">
        <v>1</v>
      </c>
      <c r="BM38">
        <v>3.5</v>
      </c>
      <c r="BN38">
        <v>2.73</v>
      </c>
      <c r="BO38">
        <v>3.12</v>
      </c>
      <c r="BP38">
        <v>0.43</v>
      </c>
      <c r="BQ38">
        <v>1.28</v>
      </c>
      <c r="BR38">
        <v>4.07</v>
      </c>
      <c r="BS38">
        <v>4.12</v>
      </c>
      <c r="BT38">
        <v>1</v>
      </c>
      <c r="BU38">
        <v>0.9</v>
      </c>
      <c r="BV38">
        <v>3.17</v>
      </c>
      <c r="BW38">
        <v>3.13</v>
      </c>
    </row>
    <row r="39" spans="1:107" x14ac:dyDescent="0.25">
      <c r="A39" s="2"/>
      <c r="B39" s="5" t="s">
        <v>79</v>
      </c>
      <c r="C39" s="20">
        <v>1.62</v>
      </c>
      <c r="D39" s="20">
        <v>1</v>
      </c>
      <c r="E39" s="20">
        <v>1.25</v>
      </c>
      <c r="F39" s="20">
        <v>1.27</v>
      </c>
      <c r="G39" s="20">
        <v>1</v>
      </c>
      <c r="H39" s="20">
        <v>1</v>
      </c>
      <c r="I39" s="20">
        <v>0.83</v>
      </c>
      <c r="J39" s="20">
        <v>1</v>
      </c>
      <c r="K39" s="20">
        <v>1</v>
      </c>
      <c r="L39" s="20">
        <v>1</v>
      </c>
      <c r="M39" s="20">
        <v>0.8</v>
      </c>
      <c r="N39" s="20">
        <v>0.91</v>
      </c>
      <c r="O39" s="20">
        <v>1.19</v>
      </c>
      <c r="P39" s="20">
        <v>0.64</v>
      </c>
      <c r="Q39" s="20">
        <v>1.66</v>
      </c>
      <c r="R39" s="20">
        <v>1.35</v>
      </c>
      <c r="S39" s="20">
        <v>1.23</v>
      </c>
      <c r="T39" s="20">
        <v>1.0900000000000001</v>
      </c>
      <c r="U39" s="20">
        <v>1.03</v>
      </c>
      <c r="V39" s="20">
        <v>1.1000000000000001</v>
      </c>
      <c r="W39" s="20">
        <v>1.04</v>
      </c>
      <c r="X39" s="20">
        <v>1.98</v>
      </c>
      <c r="Y39" s="20">
        <v>1.1100000000000001</v>
      </c>
      <c r="Z39" s="20">
        <v>0.8</v>
      </c>
      <c r="AA39" s="20">
        <v>1.07</v>
      </c>
      <c r="AB39" s="20">
        <v>1.1299999999999999</v>
      </c>
      <c r="AC39" s="20"/>
      <c r="AD39" s="20">
        <v>0.6</v>
      </c>
      <c r="AE39" s="20">
        <v>0.4</v>
      </c>
      <c r="AF39" s="20">
        <v>0.57999999999999996</v>
      </c>
      <c r="AG39" s="20">
        <v>0.44</v>
      </c>
      <c r="AH39" s="20">
        <v>0.9</v>
      </c>
      <c r="AI39" s="20">
        <v>1.63</v>
      </c>
      <c r="AJ39" s="20">
        <v>1.22</v>
      </c>
      <c r="AK39" s="20">
        <v>1.46</v>
      </c>
      <c r="AL39" s="20">
        <v>0.5</v>
      </c>
      <c r="AM39" s="20">
        <v>1.36</v>
      </c>
      <c r="AN39" s="20">
        <v>1.31</v>
      </c>
      <c r="AO39" s="20">
        <v>1.32</v>
      </c>
      <c r="AP39" s="20">
        <v>0.7</v>
      </c>
      <c r="AQ39" s="20">
        <v>2.85</v>
      </c>
      <c r="AR39" s="20">
        <v>1.43</v>
      </c>
      <c r="AS39" s="20">
        <v>0.75</v>
      </c>
      <c r="AT39" s="20">
        <v>0.7</v>
      </c>
      <c r="AU39" s="20">
        <v>1.32</v>
      </c>
      <c r="AV39" s="20">
        <v>0.92</v>
      </c>
      <c r="AW39" s="20">
        <v>0.8</v>
      </c>
      <c r="AX39" s="20">
        <v>1.38</v>
      </c>
      <c r="AY39" s="20">
        <v>1.1399999999999999</v>
      </c>
      <c r="AZ39" s="20">
        <v>1.38</v>
      </c>
      <c r="BA39" s="20">
        <v>0.7</v>
      </c>
      <c r="BB39" s="20" t="s">
        <v>206</v>
      </c>
      <c r="BC39" s="20" t="s">
        <v>206</v>
      </c>
      <c r="BD39">
        <v>2.06</v>
      </c>
      <c r="BE39">
        <v>0.81</v>
      </c>
      <c r="BF39">
        <v>1.02</v>
      </c>
      <c r="BG39">
        <v>1.04</v>
      </c>
      <c r="BH39">
        <v>1.1100000000000001</v>
      </c>
      <c r="BI39">
        <v>0.98</v>
      </c>
      <c r="BJ39">
        <v>1</v>
      </c>
      <c r="BK39">
        <v>1</v>
      </c>
      <c r="BL39">
        <v>0.93</v>
      </c>
      <c r="BM39">
        <v>1.03</v>
      </c>
      <c r="BN39">
        <v>1.01</v>
      </c>
      <c r="BO39">
        <v>0.98</v>
      </c>
      <c r="BP39">
        <v>1.01</v>
      </c>
      <c r="BQ39">
        <v>1.02</v>
      </c>
      <c r="BR39">
        <v>1.36</v>
      </c>
      <c r="BS39">
        <v>1.58</v>
      </c>
      <c r="BT39">
        <v>1.01</v>
      </c>
      <c r="BU39">
        <v>1.01</v>
      </c>
      <c r="BV39">
        <v>1</v>
      </c>
      <c r="BW39">
        <v>1</v>
      </c>
    </row>
    <row r="40" spans="1:107" x14ac:dyDescent="0.25">
      <c r="A40" s="2"/>
      <c r="B40" s="5" t="s">
        <v>64</v>
      </c>
      <c r="C40" s="20">
        <v>1.74</v>
      </c>
      <c r="D40" s="20">
        <v>1.36</v>
      </c>
      <c r="E40" s="20">
        <v>1.68</v>
      </c>
      <c r="F40" s="20">
        <v>1.71</v>
      </c>
      <c r="G40" s="20">
        <v>1.06</v>
      </c>
      <c r="H40" s="20">
        <v>1</v>
      </c>
      <c r="I40" s="20">
        <v>1.04</v>
      </c>
      <c r="J40" s="20">
        <v>1</v>
      </c>
      <c r="K40" s="20">
        <v>1.08</v>
      </c>
      <c r="L40" s="20">
        <v>1.02</v>
      </c>
      <c r="M40" s="20">
        <v>1.0900000000000001</v>
      </c>
      <c r="N40" s="20">
        <v>0.88</v>
      </c>
      <c r="O40" s="20">
        <v>0.63</v>
      </c>
      <c r="P40" s="20">
        <v>0.9</v>
      </c>
      <c r="Q40" s="20">
        <v>1.04</v>
      </c>
      <c r="R40" s="20">
        <v>1.05</v>
      </c>
      <c r="S40" s="20">
        <v>1.0900000000000001</v>
      </c>
      <c r="T40" s="20">
        <v>1.04</v>
      </c>
      <c r="U40" s="20">
        <v>1.04</v>
      </c>
      <c r="V40" s="20">
        <v>1.02</v>
      </c>
      <c r="W40" s="20">
        <v>1.21</v>
      </c>
      <c r="X40" s="20">
        <v>1</v>
      </c>
      <c r="Y40" s="20">
        <v>1.06</v>
      </c>
      <c r="Z40" s="20">
        <v>1.53</v>
      </c>
      <c r="AA40" s="20"/>
      <c r="AB40" s="20">
        <v>1.06</v>
      </c>
      <c r="AC40" s="20">
        <v>0.8</v>
      </c>
      <c r="AD40" s="20">
        <v>0.7</v>
      </c>
      <c r="AE40" s="20">
        <v>1</v>
      </c>
      <c r="AF40" s="20">
        <v>0.83</v>
      </c>
      <c r="AG40" s="20">
        <v>0.9</v>
      </c>
      <c r="AH40" s="20">
        <v>1.1399999999999999</v>
      </c>
      <c r="AI40" s="20">
        <v>1.3</v>
      </c>
      <c r="AJ40" s="20">
        <v>1.08</v>
      </c>
      <c r="AK40" s="20">
        <v>1.1000000000000001</v>
      </c>
      <c r="AL40" s="20">
        <v>1.3</v>
      </c>
      <c r="AM40" s="20">
        <v>1.29</v>
      </c>
      <c r="AN40" s="20">
        <v>1.45</v>
      </c>
      <c r="AO40" s="20">
        <v>2.0499999999999998</v>
      </c>
      <c r="AP40" s="20">
        <v>2.23</v>
      </c>
      <c r="AQ40" s="20">
        <v>1.97</v>
      </c>
      <c r="AR40" s="20">
        <v>1.85</v>
      </c>
      <c r="AS40" s="20">
        <v>1.97</v>
      </c>
      <c r="AT40" s="20">
        <v>2.2999999999999998</v>
      </c>
      <c r="AU40" s="20">
        <v>2.0499999999999998</v>
      </c>
      <c r="AV40" s="20">
        <v>2.06</v>
      </c>
      <c r="AW40" s="20">
        <v>1.91</v>
      </c>
      <c r="AX40" s="20">
        <v>2.04</v>
      </c>
      <c r="AY40" s="20">
        <v>1.88</v>
      </c>
      <c r="AZ40" s="20">
        <v>1.69</v>
      </c>
      <c r="BA40" s="20">
        <v>2.1800000000000002</v>
      </c>
      <c r="BB40" s="20" t="s">
        <v>206</v>
      </c>
      <c r="BC40" s="20" t="s">
        <v>206</v>
      </c>
      <c r="BD40">
        <v>2.29</v>
      </c>
      <c r="BE40">
        <v>2.2000000000000002</v>
      </c>
      <c r="BF40">
        <v>2.23</v>
      </c>
      <c r="BG40">
        <v>2.1</v>
      </c>
      <c r="BH40">
        <v>2</v>
      </c>
      <c r="BI40">
        <v>1.28</v>
      </c>
      <c r="BJ40">
        <v>1.63</v>
      </c>
      <c r="BK40">
        <v>1.46</v>
      </c>
      <c r="BL40">
        <v>1.68</v>
      </c>
      <c r="BM40">
        <v>1.78</v>
      </c>
      <c r="BN40">
        <v>1.64</v>
      </c>
      <c r="BO40">
        <v>1.75</v>
      </c>
      <c r="BP40">
        <v>1.32</v>
      </c>
      <c r="BQ40">
        <v>1.54</v>
      </c>
      <c r="BR40">
        <v>1.83</v>
      </c>
      <c r="BS40">
        <v>1.96</v>
      </c>
      <c r="BT40">
        <v>1.61</v>
      </c>
      <c r="BU40">
        <v>1.49</v>
      </c>
      <c r="BV40">
        <v>1.68</v>
      </c>
      <c r="BW40">
        <v>1.67</v>
      </c>
    </row>
    <row r="41" spans="1:107" x14ac:dyDescent="0.25">
      <c r="A41" s="2"/>
      <c r="B41" s="5" t="s">
        <v>69</v>
      </c>
      <c r="C41" s="20">
        <v>2.0699999999999998</v>
      </c>
      <c r="D41" s="20">
        <v>2.1800000000000002</v>
      </c>
      <c r="E41" s="20">
        <v>2.19</v>
      </c>
      <c r="F41" s="20">
        <v>2.06</v>
      </c>
      <c r="G41" s="20">
        <v>2.5</v>
      </c>
      <c r="H41" s="20">
        <v>4.84</v>
      </c>
      <c r="I41" s="20">
        <v>1.3</v>
      </c>
      <c r="J41" s="20">
        <v>2.63</v>
      </c>
      <c r="K41" s="20">
        <v>1.98</v>
      </c>
      <c r="L41" s="20">
        <v>1.28</v>
      </c>
      <c r="M41" s="20">
        <v>1.23</v>
      </c>
      <c r="N41" s="20">
        <v>1.84</v>
      </c>
      <c r="O41" s="20">
        <v>1.38</v>
      </c>
      <c r="P41" s="20">
        <v>1.42</v>
      </c>
      <c r="Q41" s="20">
        <v>1.21</v>
      </c>
      <c r="R41" s="20">
        <v>1.17</v>
      </c>
      <c r="S41" s="20">
        <v>2.0699999999999998</v>
      </c>
      <c r="T41" s="20">
        <v>1.1200000000000001</v>
      </c>
      <c r="U41" s="20">
        <v>2.4500000000000002</v>
      </c>
      <c r="V41" s="20">
        <v>1.18</v>
      </c>
      <c r="W41" s="20">
        <v>1.06</v>
      </c>
      <c r="X41" s="20">
        <v>1.56</v>
      </c>
      <c r="Y41" s="20">
        <v>1.75</v>
      </c>
      <c r="Z41" s="20">
        <v>1.2</v>
      </c>
      <c r="AA41" s="20">
        <v>2.98</v>
      </c>
      <c r="AB41" s="20">
        <v>2.57</v>
      </c>
      <c r="AC41" s="20">
        <v>2.16</v>
      </c>
      <c r="AD41" s="20">
        <v>2.4</v>
      </c>
      <c r="AE41" s="20">
        <v>1.4</v>
      </c>
      <c r="AF41" s="20">
        <v>2.93</v>
      </c>
      <c r="AG41" s="20">
        <v>2.37</v>
      </c>
      <c r="AH41" s="20">
        <v>2.2799999999999998</v>
      </c>
      <c r="AI41" s="20">
        <v>1.93</v>
      </c>
      <c r="AJ41" s="20">
        <v>1.78</v>
      </c>
      <c r="AK41" s="20">
        <v>1.72</v>
      </c>
      <c r="AL41" s="20">
        <v>1.5</v>
      </c>
      <c r="AM41" s="20">
        <v>2.65</v>
      </c>
      <c r="AN41" s="20">
        <v>3.06</v>
      </c>
      <c r="AO41" s="20">
        <v>2.4</v>
      </c>
      <c r="AP41" s="20">
        <v>2.5</v>
      </c>
      <c r="AQ41" s="20">
        <v>1</v>
      </c>
      <c r="AR41" s="20">
        <v>4.09</v>
      </c>
      <c r="AS41" s="20">
        <v>2.4900000000000002</v>
      </c>
      <c r="AT41" s="20">
        <v>2.5499999999999998</v>
      </c>
      <c r="AU41" s="20">
        <v>2.4</v>
      </c>
      <c r="AV41" s="20">
        <v>2.67</v>
      </c>
      <c r="AW41" s="20">
        <v>3.65</v>
      </c>
      <c r="AX41" s="20">
        <v>3.57</v>
      </c>
      <c r="AY41" s="20">
        <v>3.37</v>
      </c>
      <c r="AZ41" s="20">
        <v>3.38</v>
      </c>
      <c r="BA41" s="20">
        <v>2.2000000000000002</v>
      </c>
      <c r="BB41" s="20" t="s">
        <v>206</v>
      </c>
      <c r="BC41" s="20" t="s">
        <v>206</v>
      </c>
      <c r="BD41">
        <v>4.2</v>
      </c>
      <c r="BE41">
        <v>3.7</v>
      </c>
      <c r="BF41">
        <v>4.8</v>
      </c>
      <c r="BG41">
        <v>6.05</v>
      </c>
      <c r="BH41">
        <v>6.59</v>
      </c>
      <c r="BI41">
        <v>6.98</v>
      </c>
      <c r="BJ41">
        <v>3.65</v>
      </c>
      <c r="BK41">
        <v>2.65</v>
      </c>
      <c r="BL41">
        <v>2.77</v>
      </c>
      <c r="BM41">
        <v>3</v>
      </c>
      <c r="BN41">
        <v>2.61</v>
      </c>
      <c r="BO41">
        <v>3.17</v>
      </c>
      <c r="BP41">
        <v>2.77</v>
      </c>
      <c r="BQ41">
        <v>2.52</v>
      </c>
      <c r="BR41">
        <v>3.06</v>
      </c>
      <c r="BS41">
        <v>3.2</v>
      </c>
      <c r="BT41">
        <v>2.7</v>
      </c>
      <c r="BU41">
        <v>2.16</v>
      </c>
      <c r="BV41">
        <v>2.96</v>
      </c>
      <c r="BW41">
        <v>3.19</v>
      </c>
    </row>
    <row r="42" spans="1:107" x14ac:dyDescent="0.25">
      <c r="A42" s="2"/>
      <c r="B42" s="5" t="s">
        <v>207</v>
      </c>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v>0.3</v>
      </c>
      <c r="AC42" s="20">
        <v>1.4</v>
      </c>
      <c r="AD42" s="20">
        <v>2.4</v>
      </c>
      <c r="AE42" s="20">
        <v>0.5</v>
      </c>
      <c r="AF42" s="20">
        <v>0.48</v>
      </c>
      <c r="AG42" s="20">
        <v>0.43</v>
      </c>
      <c r="AH42" s="20"/>
      <c r="AI42" s="20">
        <v>1.26</v>
      </c>
      <c r="AJ42" s="20"/>
      <c r="AK42" s="20">
        <v>1.51</v>
      </c>
      <c r="AL42" s="20">
        <v>0.35</v>
      </c>
      <c r="AM42" s="20">
        <v>2.9</v>
      </c>
      <c r="AN42" s="20">
        <v>0.9</v>
      </c>
      <c r="AO42" s="20"/>
      <c r="AP42" s="20">
        <v>0.76</v>
      </c>
      <c r="AQ42" s="20"/>
      <c r="AR42" s="20">
        <v>0.5</v>
      </c>
      <c r="AS42" s="20">
        <v>0.5</v>
      </c>
      <c r="AT42" s="20">
        <v>0.7</v>
      </c>
      <c r="AU42" s="20">
        <v>0.3</v>
      </c>
      <c r="AV42" s="20">
        <v>0.91</v>
      </c>
      <c r="AW42" s="20">
        <v>0.47</v>
      </c>
      <c r="AX42" s="20">
        <v>0.4</v>
      </c>
      <c r="AY42" s="20">
        <v>0.19</v>
      </c>
      <c r="AZ42" s="20">
        <v>0.5</v>
      </c>
      <c r="BA42" s="20"/>
      <c r="BB42" s="20" t="s">
        <v>206</v>
      </c>
      <c r="BC42" s="20" t="s">
        <v>206</v>
      </c>
      <c r="BD42">
        <v>0.3</v>
      </c>
      <c r="BE42">
        <v>0.36</v>
      </c>
      <c r="BF42">
        <v>0.53</v>
      </c>
      <c r="BH42">
        <v>0.64</v>
      </c>
      <c r="BI42">
        <v>0.38</v>
      </c>
      <c r="BJ42">
        <v>0.4</v>
      </c>
      <c r="BK42">
        <v>0.7</v>
      </c>
      <c r="BL42">
        <v>0.2</v>
      </c>
      <c r="BM42">
        <v>0.86</v>
      </c>
      <c r="BN42">
        <v>0.28999999999999998</v>
      </c>
      <c r="BP42">
        <v>1.19</v>
      </c>
      <c r="BR42">
        <v>1.23</v>
      </c>
      <c r="BS42">
        <v>1.75</v>
      </c>
      <c r="BV42">
        <v>1.05</v>
      </c>
      <c r="BW42">
        <v>1.29</v>
      </c>
    </row>
    <row r="43" spans="1:107" x14ac:dyDescent="0.25">
      <c r="A43" s="2"/>
      <c r="B43" s="5" t="s">
        <v>116</v>
      </c>
      <c r="C43" s="20">
        <v>3.24</v>
      </c>
      <c r="D43" s="20">
        <v>2.74</v>
      </c>
      <c r="E43" s="20" t="s">
        <v>117</v>
      </c>
      <c r="F43" s="20" t="s">
        <v>117</v>
      </c>
      <c r="G43" s="20" t="s">
        <v>117</v>
      </c>
      <c r="H43" s="20" t="s">
        <v>117</v>
      </c>
      <c r="I43" s="20" t="s">
        <v>117</v>
      </c>
      <c r="J43" s="20">
        <v>10.08</v>
      </c>
      <c r="K43" s="20" t="s">
        <v>117</v>
      </c>
      <c r="L43" s="20" t="s">
        <v>117</v>
      </c>
      <c r="M43" s="20">
        <v>2.5</v>
      </c>
      <c r="N43" s="20" t="s">
        <v>117</v>
      </c>
      <c r="O43" s="20" t="s">
        <v>117</v>
      </c>
      <c r="P43" s="20" t="s">
        <v>117</v>
      </c>
      <c r="Q43" s="20" t="s">
        <v>117</v>
      </c>
      <c r="R43" s="20">
        <v>1.3</v>
      </c>
      <c r="S43" s="20">
        <v>3.63</v>
      </c>
      <c r="T43" s="20">
        <v>3.45</v>
      </c>
      <c r="U43" s="20">
        <v>2.08</v>
      </c>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v>1.76</v>
      </c>
      <c r="BA43" s="20"/>
      <c r="BB43" s="20" t="s">
        <v>206</v>
      </c>
      <c r="BC43" s="20" t="s">
        <v>206</v>
      </c>
      <c r="BD43">
        <v>7.1</v>
      </c>
      <c r="BE43">
        <v>3.54</v>
      </c>
      <c r="BF43">
        <v>4.4000000000000004</v>
      </c>
      <c r="BH43">
        <v>2.0499999999999998</v>
      </c>
      <c r="BI43">
        <v>2.2999999999999998</v>
      </c>
      <c r="BJ43">
        <v>1.8</v>
      </c>
      <c r="BK43">
        <v>0.68</v>
      </c>
      <c r="BN43">
        <v>3.39</v>
      </c>
      <c r="BP43">
        <v>0.19</v>
      </c>
      <c r="BQ43">
        <v>1.2</v>
      </c>
      <c r="BS43">
        <v>3.77</v>
      </c>
      <c r="BT43">
        <v>2.4700000000000002</v>
      </c>
      <c r="BU43">
        <v>2.1800000000000002</v>
      </c>
    </row>
    <row r="44" spans="1:107" x14ac:dyDescent="0.25">
      <c r="A44" s="2"/>
      <c r="B44" s="5" t="s">
        <v>202</v>
      </c>
      <c r="C44" s="20"/>
      <c r="D44" s="20"/>
      <c r="E44" s="20"/>
      <c r="F44" s="20"/>
      <c r="G44" s="20"/>
      <c r="H44" s="20"/>
      <c r="I44" s="20"/>
      <c r="J44" s="20"/>
      <c r="K44" s="20"/>
      <c r="L44" s="20"/>
      <c r="M44" s="20"/>
      <c r="N44" s="20"/>
      <c r="O44" s="20"/>
      <c r="P44" s="20"/>
      <c r="Q44" s="20"/>
      <c r="R44" s="20"/>
      <c r="S44" s="20"/>
      <c r="T44" s="20"/>
      <c r="U44" s="20"/>
      <c r="V44" s="20"/>
      <c r="W44" s="20">
        <v>0.48</v>
      </c>
      <c r="X44" s="20">
        <v>0.2</v>
      </c>
      <c r="Y44" s="20">
        <v>0.2</v>
      </c>
      <c r="Z44" s="20">
        <v>0.9</v>
      </c>
      <c r="AA44" s="20">
        <v>0.7</v>
      </c>
      <c r="AB44" s="20">
        <v>1.19</v>
      </c>
      <c r="AC44" s="20">
        <v>0.7</v>
      </c>
      <c r="AD44" s="20">
        <v>0.9</v>
      </c>
      <c r="AE44" s="20">
        <v>0.8</v>
      </c>
      <c r="AF44" s="20">
        <v>0.77</v>
      </c>
      <c r="AG44" s="20">
        <v>1.07</v>
      </c>
      <c r="AH44" s="20"/>
      <c r="AI44" s="20">
        <v>0.7</v>
      </c>
      <c r="AJ44" s="20">
        <v>0.73</v>
      </c>
      <c r="AK44" s="20"/>
      <c r="AL44" s="20">
        <v>0.81</v>
      </c>
      <c r="AM44" s="20">
        <v>1.04</v>
      </c>
      <c r="AN44" s="20">
        <v>0.4</v>
      </c>
      <c r="AO44" s="20">
        <v>0.7</v>
      </c>
      <c r="AP44" s="20">
        <v>0.98</v>
      </c>
      <c r="AQ44" s="20">
        <v>1.07</v>
      </c>
      <c r="AR44" s="20">
        <v>0.9</v>
      </c>
      <c r="AS44" s="20">
        <v>2.1</v>
      </c>
      <c r="AT44" s="20">
        <v>0.98</v>
      </c>
      <c r="AU44" s="20">
        <v>0.78</v>
      </c>
      <c r="AV44" s="20">
        <v>1.1000000000000001</v>
      </c>
      <c r="AW44" s="20">
        <v>1.3</v>
      </c>
      <c r="AX44" s="20">
        <v>1.1000000000000001</v>
      </c>
      <c r="AY44" s="20">
        <v>0.6</v>
      </c>
      <c r="AZ44" s="20">
        <v>1.45</v>
      </c>
      <c r="BA44" s="20">
        <v>2.1</v>
      </c>
      <c r="BB44" s="20" t="s">
        <v>206</v>
      </c>
      <c r="BC44" s="20" t="s">
        <v>206</v>
      </c>
      <c r="BD44">
        <v>1.4</v>
      </c>
      <c r="BE44">
        <v>2.04</v>
      </c>
      <c r="BF44">
        <v>2.7</v>
      </c>
      <c r="BG44">
        <v>1.61</v>
      </c>
      <c r="BH44">
        <v>1.76</v>
      </c>
      <c r="BJ44">
        <v>3</v>
      </c>
      <c r="BK44">
        <v>1.07</v>
      </c>
      <c r="BL44">
        <v>1.08</v>
      </c>
      <c r="BM44">
        <v>1.54</v>
      </c>
      <c r="BN44">
        <v>0.57999999999999996</v>
      </c>
      <c r="BO44">
        <v>3.54</v>
      </c>
      <c r="BP44">
        <v>2.08</v>
      </c>
      <c r="BS44">
        <v>2.0299999999999998</v>
      </c>
      <c r="BT44">
        <v>1.84</v>
      </c>
      <c r="BV44">
        <v>9.2100000000000009</v>
      </c>
    </row>
    <row r="45" spans="1:107" x14ac:dyDescent="0.25">
      <c r="A45" s="2"/>
      <c r="B45" s="5" t="s">
        <v>74</v>
      </c>
      <c r="C45" s="20">
        <v>1</v>
      </c>
      <c r="D45" s="20">
        <v>1.28</v>
      </c>
      <c r="E45" s="20">
        <v>1.69</v>
      </c>
      <c r="F45" s="20">
        <v>1.5</v>
      </c>
      <c r="G45" s="20">
        <v>1</v>
      </c>
      <c r="H45" s="20">
        <v>1.01</v>
      </c>
      <c r="I45" s="20">
        <v>1.7</v>
      </c>
      <c r="J45" s="20">
        <v>2.33</v>
      </c>
      <c r="K45" s="20">
        <v>1.04</v>
      </c>
      <c r="L45" s="20">
        <v>1</v>
      </c>
      <c r="M45" s="20">
        <v>0.9</v>
      </c>
      <c r="N45" s="20">
        <v>1.02</v>
      </c>
      <c r="O45" s="20">
        <v>1.0900000000000001</v>
      </c>
      <c r="P45" s="20">
        <v>0.84</v>
      </c>
      <c r="Q45" s="20">
        <v>1.05</v>
      </c>
      <c r="R45" s="20">
        <v>1.1100000000000001</v>
      </c>
      <c r="S45" s="20">
        <v>1.0900000000000001</v>
      </c>
      <c r="T45" s="20">
        <v>0.9</v>
      </c>
      <c r="U45" s="20">
        <v>1.03</v>
      </c>
      <c r="V45" s="20">
        <v>1.1100000000000001</v>
      </c>
      <c r="W45" s="20">
        <v>1.02</v>
      </c>
      <c r="X45" s="20">
        <v>1.1599999999999999</v>
      </c>
      <c r="Y45" s="20">
        <v>1.19</v>
      </c>
      <c r="Z45" s="20">
        <v>1.26</v>
      </c>
      <c r="AA45" s="20">
        <v>1.27</v>
      </c>
      <c r="AB45" s="20">
        <v>1.23</v>
      </c>
      <c r="AC45" s="20">
        <v>1.3</v>
      </c>
      <c r="AD45" s="20"/>
      <c r="AE45" s="20"/>
      <c r="AF45" s="20">
        <v>1.0900000000000001</v>
      </c>
      <c r="AG45" s="20">
        <v>1.1299999999999999</v>
      </c>
      <c r="AH45" s="20">
        <v>1.23</v>
      </c>
      <c r="AI45" s="20">
        <v>1.26</v>
      </c>
      <c r="AJ45" s="20">
        <v>1.23</v>
      </c>
      <c r="AK45" s="20">
        <v>1.22</v>
      </c>
      <c r="AL45" s="20">
        <v>1.1499999999999999</v>
      </c>
      <c r="AM45" s="20">
        <v>1.72</v>
      </c>
      <c r="AN45" s="20">
        <v>6.38</v>
      </c>
      <c r="AO45" s="20">
        <v>7.67</v>
      </c>
      <c r="AP45" s="20">
        <v>6.74</v>
      </c>
      <c r="AQ45" s="20">
        <v>7.23</v>
      </c>
      <c r="AR45" s="20">
        <v>8.4600000000000009</v>
      </c>
      <c r="AS45" s="20">
        <v>9.2799999999999994</v>
      </c>
      <c r="AT45" s="20">
        <v>6.74</v>
      </c>
      <c r="AU45" s="20">
        <v>7.76</v>
      </c>
      <c r="AV45" s="20">
        <v>10.16</v>
      </c>
      <c r="AW45" s="20">
        <v>10.18</v>
      </c>
      <c r="AX45" s="20">
        <v>4.05</v>
      </c>
      <c r="AY45" s="20">
        <v>8.67</v>
      </c>
      <c r="AZ45" s="20">
        <v>9.09</v>
      </c>
      <c r="BA45" s="20">
        <v>8.3000000000000007</v>
      </c>
      <c r="BB45" s="20" t="s">
        <v>206</v>
      </c>
      <c r="BC45" s="20" t="s">
        <v>206</v>
      </c>
      <c r="BD45">
        <v>7.1</v>
      </c>
      <c r="BE45">
        <v>3.78</v>
      </c>
      <c r="BF45">
        <v>4.25</v>
      </c>
      <c r="BG45">
        <v>4.38</v>
      </c>
      <c r="BH45">
        <v>7.76</v>
      </c>
      <c r="BI45">
        <v>5.85</v>
      </c>
      <c r="BJ45">
        <v>3.7</v>
      </c>
      <c r="BK45">
        <v>2.06</v>
      </c>
      <c r="BL45">
        <v>2.5499999999999998</v>
      </c>
      <c r="BM45">
        <v>2.71</v>
      </c>
      <c r="BN45">
        <v>1.04</v>
      </c>
      <c r="BO45">
        <v>2.21</v>
      </c>
      <c r="BP45">
        <v>2.89</v>
      </c>
      <c r="BQ45">
        <v>1.61</v>
      </c>
      <c r="BR45">
        <v>3.13</v>
      </c>
      <c r="BS45">
        <v>3.31</v>
      </c>
      <c r="BT45">
        <v>1.21</v>
      </c>
      <c r="BU45">
        <v>2.2799999999999998</v>
      </c>
      <c r="BV45">
        <v>2.69</v>
      </c>
      <c r="BW45">
        <v>1.27</v>
      </c>
    </row>
    <row r="46" spans="1:107" x14ac:dyDescent="0.25">
      <c r="A46" s="2"/>
      <c r="B46" s="5" t="s">
        <v>91</v>
      </c>
      <c r="C46" s="20">
        <v>0.63</v>
      </c>
      <c r="D46" s="20">
        <v>1.23</v>
      </c>
      <c r="E46" s="20">
        <v>1.44</v>
      </c>
      <c r="F46" s="20">
        <v>1.28</v>
      </c>
      <c r="G46" s="20">
        <v>0.87</v>
      </c>
      <c r="H46" s="20">
        <v>1.46</v>
      </c>
      <c r="I46" s="20">
        <v>0.57999999999999996</v>
      </c>
      <c r="J46" s="20">
        <v>1.06</v>
      </c>
      <c r="K46" s="20" t="s">
        <v>117</v>
      </c>
      <c r="L46" s="20">
        <v>0.87</v>
      </c>
      <c r="M46" s="20">
        <v>1.44</v>
      </c>
      <c r="N46" s="20">
        <v>0.53</v>
      </c>
      <c r="O46" s="20" t="s">
        <v>117</v>
      </c>
      <c r="P46" s="20">
        <v>1.41</v>
      </c>
      <c r="Q46" s="20">
        <v>0.75</v>
      </c>
      <c r="R46" s="20">
        <v>1.54</v>
      </c>
      <c r="S46" s="20" t="s">
        <v>117</v>
      </c>
      <c r="T46" s="20">
        <v>0.8</v>
      </c>
      <c r="U46" s="20">
        <v>1.31</v>
      </c>
      <c r="V46" s="20">
        <v>1.68</v>
      </c>
      <c r="W46" s="20">
        <v>1.35</v>
      </c>
      <c r="X46" s="20">
        <v>0.7</v>
      </c>
      <c r="Y46" s="20">
        <v>0.3</v>
      </c>
      <c r="Z46" s="20">
        <v>1.1000000000000001</v>
      </c>
      <c r="AA46" s="20">
        <v>1.23</v>
      </c>
      <c r="AB46" s="20"/>
      <c r="AC46" s="20">
        <v>0.6</v>
      </c>
      <c r="AD46" s="20">
        <v>0.6</v>
      </c>
      <c r="AE46" s="20">
        <v>0.9</v>
      </c>
      <c r="AF46" s="20">
        <v>0.93</v>
      </c>
      <c r="AG46" s="20">
        <v>0.95</v>
      </c>
      <c r="AH46" s="20"/>
      <c r="AI46" s="20"/>
      <c r="AJ46" s="20"/>
      <c r="AK46" s="20">
        <v>1.02</v>
      </c>
      <c r="AL46" s="20">
        <v>1.2</v>
      </c>
      <c r="AM46" s="20">
        <v>2.08</v>
      </c>
      <c r="AN46" s="20">
        <v>1.21</v>
      </c>
      <c r="AO46" s="20">
        <v>1.61</v>
      </c>
      <c r="AP46" s="20">
        <v>2.29</v>
      </c>
      <c r="AQ46" s="20"/>
      <c r="AR46" s="20">
        <v>0.23</v>
      </c>
      <c r="AS46" s="20">
        <v>2.76</v>
      </c>
      <c r="AT46" s="20">
        <v>2.29</v>
      </c>
      <c r="AU46" s="20">
        <v>1.61</v>
      </c>
      <c r="AV46" s="20">
        <v>1.6</v>
      </c>
      <c r="AW46" s="20">
        <v>1.17</v>
      </c>
      <c r="AX46" s="20">
        <v>1.7</v>
      </c>
      <c r="AY46" s="20">
        <v>0.9</v>
      </c>
      <c r="AZ46" s="20">
        <v>1.1100000000000001</v>
      </c>
      <c r="BA46" s="20">
        <v>1.17</v>
      </c>
      <c r="BB46" s="20" t="s">
        <v>206</v>
      </c>
      <c r="BC46" s="20" t="s">
        <v>206</v>
      </c>
      <c r="BD46">
        <v>1.5</v>
      </c>
      <c r="BE46">
        <v>1.26</v>
      </c>
      <c r="BF46">
        <v>1</v>
      </c>
      <c r="BG46">
        <v>1.26</v>
      </c>
      <c r="BH46">
        <v>1.06</v>
      </c>
      <c r="BI46">
        <v>1.74</v>
      </c>
      <c r="BJ46">
        <v>1.4</v>
      </c>
      <c r="BK46">
        <v>0.96</v>
      </c>
      <c r="BL46">
        <v>1.19</v>
      </c>
      <c r="BM46">
        <v>0.97</v>
      </c>
      <c r="BN46">
        <v>1.03</v>
      </c>
      <c r="BO46">
        <v>1.42</v>
      </c>
      <c r="BP46">
        <v>1.65</v>
      </c>
      <c r="BQ46">
        <v>1.02</v>
      </c>
      <c r="BR46">
        <v>2.37</v>
      </c>
      <c r="BS46">
        <v>2.1</v>
      </c>
      <c r="BT46">
        <v>0.9</v>
      </c>
      <c r="BU46">
        <v>2.0699999999999998</v>
      </c>
      <c r="BV46">
        <v>1.07</v>
      </c>
      <c r="BW46">
        <v>2.59</v>
      </c>
    </row>
    <row r="47" spans="1:107" x14ac:dyDescent="0.25">
      <c r="A47" s="2"/>
      <c r="B47" s="5" t="s">
        <v>96</v>
      </c>
      <c r="C47" s="20"/>
      <c r="D47" s="20">
        <v>0.1</v>
      </c>
      <c r="E47" s="20">
        <v>0.14499999999999999</v>
      </c>
      <c r="F47" s="20">
        <v>0.95</v>
      </c>
      <c r="G47" s="20" t="s">
        <v>117</v>
      </c>
      <c r="H47" s="20" t="s">
        <v>117</v>
      </c>
      <c r="I47" s="20">
        <v>1</v>
      </c>
      <c r="J47" s="20">
        <v>0.09</v>
      </c>
      <c r="K47" s="20" t="s">
        <v>117</v>
      </c>
      <c r="L47" s="20" t="s">
        <v>117</v>
      </c>
      <c r="M47" s="20">
        <v>0.99</v>
      </c>
      <c r="N47" s="20">
        <v>0.67</v>
      </c>
      <c r="O47" s="20">
        <v>0.53</v>
      </c>
      <c r="P47" s="20">
        <v>0.7</v>
      </c>
      <c r="Q47" s="20" t="s">
        <v>117</v>
      </c>
      <c r="R47" s="20">
        <v>0.91</v>
      </c>
      <c r="S47" s="20" t="s">
        <v>117</v>
      </c>
      <c r="T47" s="20">
        <v>0.5</v>
      </c>
      <c r="U47" s="20">
        <v>0.9</v>
      </c>
      <c r="V47" s="20"/>
      <c r="W47" s="20">
        <v>0.69</v>
      </c>
      <c r="X47" s="20"/>
      <c r="Y47" s="20"/>
      <c r="Z47" s="20">
        <v>0.1</v>
      </c>
      <c r="AA47" s="20">
        <v>0.3</v>
      </c>
      <c r="AB47" s="20"/>
      <c r="AC47" s="20">
        <v>0.5</v>
      </c>
      <c r="AD47" s="20"/>
      <c r="AE47" s="20">
        <v>0.6</v>
      </c>
      <c r="AF47" s="20">
        <v>0.69</v>
      </c>
      <c r="AG47" s="20">
        <v>0.64</v>
      </c>
      <c r="AH47" s="20"/>
      <c r="AI47" s="20">
        <v>0.25</v>
      </c>
      <c r="AJ47" s="20"/>
      <c r="AK47" s="20">
        <v>0.12</v>
      </c>
      <c r="AL47" s="20">
        <v>0.76</v>
      </c>
      <c r="AM47" s="20"/>
      <c r="AN47" s="20"/>
      <c r="AO47" s="20">
        <v>0.4</v>
      </c>
      <c r="AP47" s="20"/>
      <c r="AQ47" s="20">
        <v>0.27</v>
      </c>
      <c r="AR47" s="20"/>
      <c r="AS47" s="20">
        <v>0.17</v>
      </c>
      <c r="AT47" s="20"/>
      <c r="AU47" s="20">
        <v>0.47</v>
      </c>
      <c r="AV47" s="20"/>
      <c r="AW47" s="20"/>
      <c r="AX47" s="20"/>
      <c r="AY47" s="20">
        <v>1</v>
      </c>
      <c r="AZ47" s="20">
        <v>1</v>
      </c>
      <c r="BA47" s="20"/>
      <c r="BB47" s="20" t="s">
        <v>206</v>
      </c>
      <c r="BC47" s="20" t="s">
        <v>206</v>
      </c>
      <c r="BD47">
        <v>1.08</v>
      </c>
      <c r="BE47">
        <v>0.9</v>
      </c>
      <c r="BF47">
        <v>1.2</v>
      </c>
      <c r="BG47">
        <v>1.74</v>
      </c>
      <c r="BH47">
        <v>1</v>
      </c>
      <c r="BI47">
        <v>0.34</v>
      </c>
      <c r="BJ47">
        <v>0.32</v>
      </c>
      <c r="BK47">
        <v>1</v>
      </c>
      <c r="BL47">
        <v>1.02</v>
      </c>
      <c r="BN47">
        <v>0.33</v>
      </c>
      <c r="BO47">
        <v>1.69</v>
      </c>
      <c r="BP47">
        <v>3.38</v>
      </c>
      <c r="BQ47">
        <v>0.83</v>
      </c>
      <c r="BS47">
        <v>2.8</v>
      </c>
      <c r="BT47">
        <v>0.1</v>
      </c>
      <c r="BU47">
        <v>1</v>
      </c>
      <c r="BV47">
        <v>1</v>
      </c>
      <c r="BW47">
        <v>5.16</v>
      </c>
    </row>
    <row r="48" spans="1:107" x14ac:dyDescent="0.25">
      <c r="A48" s="2"/>
      <c r="B48" s="5" t="s">
        <v>101</v>
      </c>
      <c r="C48" s="20"/>
      <c r="D48" s="20">
        <v>1.05</v>
      </c>
      <c r="E48" s="20">
        <v>1.36</v>
      </c>
      <c r="F48" s="20" t="s">
        <v>117</v>
      </c>
      <c r="G48" s="20">
        <v>1.0900000000000001</v>
      </c>
      <c r="H48" s="20" t="s">
        <v>117</v>
      </c>
      <c r="I48" s="20">
        <v>1.87</v>
      </c>
      <c r="J48" s="20">
        <v>1</v>
      </c>
      <c r="K48" s="20" t="s">
        <v>117</v>
      </c>
      <c r="L48" s="20">
        <v>1.19</v>
      </c>
      <c r="M48" s="20" t="s">
        <v>117</v>
      </c>
      <c r="N48" s="20" t="s">
        <v>117</v>
      </c>
      <c r="O48" s="20" t="s">
        <v>117</v>
      </c>
      <c r="P48" s="20">
        <v>0.75</v>
      </c>
      <c r="Q48" s="20">
        <v>0.79</v>
      </c>
      <c r="R48" s="20" t="s">
        <v>117</v>
      </c>
      <c r="S48" s="20">
        <v>0.26</v>
      </c>
      <c r="T48" s="20">
        <v>0.5</v>
      </c>
      <c r="U48" s="20"/>
      <c r="V48" s="20"/>
      <c r="W48" s="20">
        <v>0.49</v>
      </c>
      <c r="X48" s="20">
        <v>1.1200000000000001</v>
      </c>
      <c r="Y48" s="20">
        <v>0.4</v>
      </c>
      <c r="Z48" s="20">
        <v>1.32</v>
      </c>
      <c r="AA48" s="20">
        <v>1.32</v>
      </c>
      <c r="AB48" s="20"/>
      <c r="AC48" s="20">
        <v>0.6</v>
      </c>
      <c r="AD48" s="20">
        <v>1.5</v>
      </c>
      <c r="AE48" s="20">
        <v>0.7</v>
      </c>
      <c r="AF48" s="20"/>
      <c r="AG48" s="20">
        <v>0.67</v>
      </c>
      <c r="AH48" s="20"/>
      <c r="AI48" s="20"/>
      <c r="AJ48" s="20"/>
      <c r="AK48" s="20"/>
      <c r="AL48" s="20"/>
      <c r="AM48" s="20"/>
      <c r="AN48" s="20"/>
      <c r="AO48" s="20"/>
      <c r="AP48" s="20"/>
      <c r="AQ48" s="20">
        <v>1.51</v>
      </c>
      <c r="AR48" s="20"/>
      <c r="AS48" s="20"/>
      <c r="AT48" s="20"/>
      <c r="AU48" s="20"/>
      <c r="AV48" s="20"/>
      <c r="AW48" s="20"/>
      <c r="AX48" s="20"/>
      <c r="AY48" s="20"/>
      <c r="AZ48" s="20"/>
      <c r="BA48" s="20"/>
      <c r="BB48" s="20" t="s">
        <v>206</v>
      </c>
      <c r="BC48" s="20" t="s">
        <v>206</v>
      </c>
      <c r="BG48">
        <v>1.03</v>
      </c>
      <c r="BH48">
        <v>0.5</v>
      </c>
      <c r="BI48">
        <v>0.55000000000000004</v>
      </c>
      <c r="BJ48">
        <v>0.51</v>
      </c>
      <c r="BK48">
        <v>1.1299999999999999</v>
      </c>
      <c r="BL48">
        <v>1.53</v>
      </c>
      <c r="BS48">
        <v>1.02</v>
      </c>
      <c r="BU48">
        <v>1.55</v>
      </c>
    </row>
    <row r="49" spans="1:106" x14ac:dyDescent="0.25">
      <c r="A49" s="2"/>
      <c r="B49" s="4" t="s">
        <v>109</v>
      </c>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row>
    <row r="50" spans="1:106" ht="45" x14ac:dyDescent="0.25">
      <c r="A50" s="11" t="s">
        <v>118</v>
      </c>
      <c r="B50" s="3" t="s">
        <v>119</v>
      </c>
      <c r="C50" s="17">
        <v>0.6</v>
      </c>
      <c r="D50" s="18">
        <v>0.48</v>
      </c>
      <c r="E50" s="19">
        <v>0.308</v>
      </c>
      <c r="F50" s="19">
        <v>0.28599999999999998</v>
      </c>
      <c r="G50" s="19">
        <v>0.33</v>
      </c>
      <c r="H50" s="19">
        <v>0.33300000000000002</v>
      </c>
      <c r="I50" s="19">
        <v>0.125</v>
      </c>
      <c r="J50" s="19">
        <v>0.41699999999999998</v>
      </c>
      <c r="K50" s="19">
        <v>0.125</v>
      </c>
      <c r="L50" s="19">
        <v>0.4</v>
      </c>
      <c r="M50" s="19">
        <v>0.29199999999999998</v>
      </c>
      <c r="N50" s="19">
        <v>0.41</v>
      </c>
      <c r="O50" s="19">
        <v>0.5</v>
      </c>
      <c r="P50" s="19">
        <v>0.4</v>
      </c>
      <c r="Q50" s="19">
        <v>0.375</v>
      </c>
      <c r="R50" s="19">
        <v>0.52</v>
      </c>
      <c r="S50" s="19">
        <v>0.32</v>
      </c>
      <c r="T50" s="19">
        <v>0.48</v>
      </c>
      <c r="U50" s="19">
        <v>0.42</v>
      </c>
      <c r="V50" s="19">
        <v>0.13600000000000001</v>
      </c>
      <c r="W50" s="19">
        <v>0.152</v>
      </c>
      <c r="X50" s="19">
        <v>0.13</v>
      </c>
      <c r="Y50" s="19">
        <v>8.2000000000000003E-2</v>
      </c>
      <c r="Z50" s="19">
        <v>0.23300000000000001</v>
      </c>
      <c r="AA50" s="19">
        <v>0.13</v>
      </c>
      <c r="AB50" s="19">
        <v>0.314</v>
      </c>
      <c r="AC50" s="19">
        <v>0.04</v>
      </c>
      <c r="AD50" s="19">
        <v>0.26</v>
      </c>
      <c r="AE50" s="19">
        <v>0.18</v>
      </c>
      <c r="AF50" s="19">
        <v>0.125</v>
      </c>
      <c r="AG50" s="19">
        <v>0.2</v>
      </c>
      <c r="AH50" s="19">
        <v>0.28999999999999998</v>
      </c>
      <c r="AI50" s="19">
        <v>0.34</v>
      </c>
      <c r="AJ50" s="19">
        <v>0.19400000000000001</v>
      </c>
      <c r="AK50" s="19">
        <v>0.308</v>
      </c>
      <c r="AL50" s="19">
        <v>0.14299999999999999</v>
      </c>
      <c r="AM50" s="19">
        <v>0.14699999999999999</v>
      </c>
      <c r="AN50" s="19">
        <v>0.16700000000000001</v>
      </c>
      <c r="AO50" s="19">
        <v>0.254</v>
      </c>
      <c r="AP50" s="19">
        <v>0.23</v>
      </c>
      <c r="AQ50" s="19">
        <v>0.16</v>
      </c>
      <c r="AR50" s="19">
        <v>0.152</v>
      </c>
      <c r="AS50" s="19">
        <v>0.17599999999999999</v>
      </c>
      <c r="AT50" s="19">
        <v>0.21</v>
      </c>
      <c r="AU50" s="19">
        <v>0.14299999999999999</v>
      </c>
      <c r="AV50" s="19">
        <v>0.2</v>
      </c>
      <c r="AW50" s="19">
        <v>0.105</v>
      </c>
      <c r="AX50" s="19" t="s">
        <v>206</v>
      </c>
      <c r="AY50" s="19">
        <v>0.5</v>
      </c>
      <c r="AZ50" s="19">
        <v>0.34</v>
      </c>
      <c r="BA50" s="19">
        <v>0</v>
      </c>
      <c r="BB50" s="19">
        <v>0.25</v>
      </c>
      <c r="BC50" s="19" t="s">
        <v>206</v>
      </c>
      <c r="BD50" s="19">
        <v>0.182</v>
      </c>
      <c r="BE50" s="19">
        <v>0.24</v>
      </c>
      <c r="BF50" s="19">
        <v>0.24299999999999999</v>
      </c>
      <c r="BG50" s="19">
        <v>0.16</v>
      </c>
      <c r="BH50" s="19">
        <v>0.21</v>
      </c>
      <c r="BI50" s="19">
        <v>0.23</v>
      </c>
      <c r="BJ50" s="19">
        <v>0.30399999999999999</v>
      </c>
      <c r="BK50" s="19">
        <v>0.182</v>
      </c>
      <c r="BL50" s="19">
        <v>0.14799999999999999</v>
      </c>
      <c r="BM50" s="19">
        <v>9.5000000000000001E-2</v>
      </c>
      <c r="BN50" s="19">
        <v>0.36</v>
      </c>
      <c r="BO50" s="19">
        <v>0.26700000000000002</v>
      </c>
      <c r="BP50" s="19">
        <v>0.42899999999999999</v>
      </c>
      <c r="BQ50" s="19">
        <v>0.28000000000000003</v>
      </c>
      <c r="BR50" s="19">
        <v>0.192</v>
      </c>
      <c r="BS50" s="19">
        <v>0.17599999999999999</v>
      </c>
      <c r="BT50" s="19">
        <v>0.26500000000000001</v>
      </c>
      <c r="BU50" s="19">
        <v>0.19400000000000001</v>
      </c>
      <c r="BV50" s="19"/>
      <c r="BW50" s="19">
        <v>0.40200000000000002</v>
      </c>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row>
    <row r="51" spans="1:106" ht="26.25" customHeight="1" x14ac:dyDescent="0.25">
      <c r="A51" s="2" t="s">
        <v>120</v>
      </c>
      <c r="B51" s="3" t="s">
        <v>121</v>
      </c>
      <c r="C51" s="17">
        <v>0.01</v>
      </c>
      <c r="D51" s="18">
        <v>0.01</v>
      </c>
      <c r="E51" s="12">
        <f>SUM(100%, -E35)</f>
        <v>9.099999999999997E-3</v>
      </c>
      <c r="F51" s="19">
        <v>2.92E-2</v>
      </c>
      <c r="G51" s="19">
        <v>2.01E-2</v>
      </c>
      <c r="H51" s="19">
        <v>0</v>
      </c>
      <c r="I51" s="19">
        <v>1.41E-2</v>
      </c>
      <c r="J51" s="19">
        <v>5.8999999999999997E-2</v>
      </c>
      <c r="K51" s="19">
        <v>0.05</v>
      </c>
      <c r="L51" s="19">
        <v>4.2999999999999997E-2</v>
      </c>
      <c r="M51" s="19">
        <v>3.6499999999999998E-2</v>
      </c>
      <c r="N51" s="19">
        <v>2.3E-2</v>
      </c>
      <c r="O51" s="19">
        <v>9.8000000000000004E-2</v>
      </c>
      <c r="P51" s="19">
        <v>0.04</v>
      </c>
      <c r="Q51" s="19">
        <v>0.03</v>
      </c>
      <c r="R51" s="19">
        <v>1.7999999999999999E-2</v>
      </c>
      <c r="S51" s="19">
        <v>1.2E-2</v>
      </c>
      <c r="T51" s="19">
        <v>0.02</v>
      </c>
      <c r="U51" s="19">
        <v>1.7999999999999999E-2</v>
      </c>
      <c r="V51" s="19">
        <v>9.2999999999999992E-3</v>
      </c>
      <c r="W51" s="19">
        <v>0.02</v>
      </c>
      <c r="X51" s="19">
        <v>1.2E-2</v>
      </c>
      <c r="Y51" s="19">
        <v>3.0000000000000001E-3</v>
      </c>
      <c r="Z51" s="19">
        <v>4.2000000000000003E-2</v>
      </c>
      <c r="AA51" s="19">
        <v>0.03</v>
      </c>
      <c r="AB51" s="19">
        <v>0.06</v>
      </c>
      <c r="AC51" s="19">
        <v>1.9800000000000002E-2</v>
      </c>
      <c r="AD51" s="19">
        <v>5.0000000000000001E-4</v>
      </c>
      <c r="AE51" s="19">
        <v>1.4999999999999999E-2</v>
      </c>
      <c r="AF51" s="19">
        <v>1.95E-2</v>
      </c>
      <c r="AG51" s="19">
        <v>3.2000000000000001E-2</v>
      </c>
      <c r="AH51" s="19">
        <v>7.0000000000000001E-3</v>
      </c>
      <c r="AI51" s="19">
        <v>9.8500000000000004E-2</v>
      </c>
      <c r="AJ51" s="19">
        <v>2.5000000000000001E-3</v>
      </c>
      <c r="AK51" s="19">
        <v>3.2000000000000001E-2</v>
      </c>
      <c r="AL51" s="19">
        <v>7.0000000000000001E-3</v>
      </c>
      <c r="AM51" s="19">
        <v>4.8000000000000001E-2</v>
      </c>
      <c r="AN51" s="19">
        <v>2.6499999999999999E-2</v>
      </c>
      <c r="AO51" s="19">
        <v>1.7000000000000001E-2</v>
      </c>
      <c r="AP51" s="19">
        <v>7.0000000000000001E-3</v>
      </c>
      <c r="AQ51" s="19">
        <v>4.0000000000000001E-3</v>
      </c>
      <c r="AR51" s="19">
        <v>6.0000000000000001E-3</v>
      </c>
      <c r="AS51" s="19">
        <v>1.7000000000000001E-2</v>
      </c>
      <c r="AT51" s="19">
        <v>8.9999999999999993E-3</v>
      </c>
      <c r="AU51" s="19">
        <v>6.1999999999999998E-3</v>
      </c>
      <c r="AV51" s="19"/>
      <c r="AW51" s="19">
        <v>2.1499999999999998E-2</v>
      </c>
      <c r="AX51" s="19">
        <v>6.4000000000000003E-3</v>
      </c>
      <c r="AY51" s="19">
        <v>1.6999999999999999E-3</v>
      </c>
      <c r="AZ51" s="19">
        <v>1.1999999999999999E-3</v>
      </c>
      <c r="BA51" s="19">
        <v>0</v>
      </c>
      <c r="BB51" s="19">
        <v>0</v>
      </c>
      <c r="BC51" s="19">
        <v>3.2000000000000001E-2</v>
      </c>
      <c r="BD51" s="19">
        <v>1.6E-2</v>
      </c>
      <c r="BE51" s="19">
        <v>2.9000000000000001E-2</v>
      </c>
      <c r="BF51" s="19">
        <v>3.2000000000000001E-2</v>
      </c>
      <c r="BG51" s="19">
        <v>1.2E-2</v>
      </c>
      <c r="BH51" s="19">
        <v>6.7999999999999996E-3</v>
      </c>
      <c r="BI51" s="19">
        <v>9.1999999999999998E-3</v>
      </c>
      <c r="BJ51" s="19">
        <v>8.2000000000000007E-3</v>
      </c>
      <c r="BK51" s="19">
        <v>8.2000000000000007E-3</v>
      </c>
      <c r="BL51" s="19">
        <v>7.6E-3</v>
      </c>
      <c r="BM51" s="19">
        <v>1.1999999999999999E-3</v>
      </c>
      <c r="BN51" s="19">
        <v>5.1000000000000004E-3</v>
      </c>
      <c r="BO51" s="19">
        <v>1.1599999999999999E-2</v>
      </c>
      <c r="BP51" s="19">
        <v>2.5000000000000001E-2</v>
      </c>
      <c r="BQ51" s="19">
        <v>2.1999999999999999E-2</v>
      </c>
      <c r="BR51" s="19">
        <v>8.2000000000000007E-3</v>
      </c>
      <c r="BS51" s="19">
        <v>5.7999999999999996E-3</v>
      </c>
      <c r="BT51" s="19">
        <v>3.2000000000000001E-2</v>
      </c>
      <c r="BU51" s="19">
        <v>1.9300000000000001E-2</v>
      </c>
      <c r="BV51" s="19"/>
      <c r="BW51" s="19">
        <v>7.0000000000000001E-3</v>
      </c>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row>
    <row r="52" spans="1:106" ht="18" customHeight="1" x14ac:dyDescent="0.25">
      <c r="A52" s="2" t="s">
        <v>122</v>
      </c>
      <c r="B52" s="3" t="s">
        <v>123</v>
      </c>
      <c r="C52" s="17">
        <v>1</v>
      </c>
      <c r="D52" s="18">
        <v>1</v>
      </c>
      <c r="E52" s="18">
        <v>1</v>
      </c>
      <c r="F52" s="18">
        <v>1</v>
      </c>
      <c r="G52" s="19">
        <v>1</v>
      </c>
      <c r="H52" s="19">
        <v>1</v>
      </c>
      <c r="I52" s="19">
        <v>1</v>
      </c>
      <c r="J52" s="19">
        <v>1</v>
      </c>
      <c r="K52" s="19">
        <v>1</v>
      </c>
      <c r="L52" s="19">
        <v>0.8</v>
      </c>
      <c r="M52" s="19">
        <v>0.875</v>
      </c>
      <c r="N52" s="19">
        <v>1</v>
      </c>
      <c r="O52" s="19">
        <v>0.88900000000000001</v>
      </c>
      <c r="P52" s="19">
        <v>0.95599999999999996</v>
      </c>
      <c r="Q52" s="19">
        <v>1</v>
      </c>
      <c r="R52" s="19">
        <v>1</v>
      </c>
      <c r="S52" s="19">
        <v>0.96199999999999997</v>
      </c>
      <c r="T52" s="19">
        <v>0.96</v>
      </c>
      <c r="U52" s="19">
        <v>1</v>
      </c>
      <c r="V52" s="19">
        <v>1</v>
      </c>
      <c r="W52" s="19">
        <v>0.97</v>
      </c>
      <c r="X52" s="19">
        <v>1</v>
      </c>
      <c r="Y52" s="19">
        <v>0.86699999999999999</v>
      </c>
      <c r="Z52" s="19">
        <v>1</v>
      </c>
      <c r="AA52" s="19">
        <v>1</v>
      </c>
      <c r="AB52" s="19">
        <v>1</v>
      </c>
      <c r="AC52" s="19">
        <v>1</v>
      </c>
      <c r="AD52" s="19">
        <v>1</v>
      </c>
      <c r="AE52" s="19">
        <v>1</v>
      </c>
      <c r="AF52" s="19">
        <v>1</v>
      </c>
      <c r="AG52" s="19">
        <v>1</v>
      </c>
      <c r="AH52" s="19">
        <v>0.91</v>
      </c>
      <c r="AI52" s="19">
        <v>1</v>
      </c>
      <c r="AJ52" s="19">
        <v>1</v>
      </c>
      <c r="AK52" s="19">
        <v>1</v>
      </c>
      <c r="AL52" s="19">
        <v>1</v>
      </c>
      <c r="AM52" s="19">
        <v>1</v>
      </c>
      <c r="AN52" s="19">
        <v>1</v>
      </c>
      <c r="AO52" s="19">
        <v>1</v>
      </c>
      <c r="AP52" s="19">
        <v>1</v>
      </c>
      <c r="AQ52" s="19">
        <v>1</v>
      </c>
      <c r="AR52" s="19">
        <v>0.97</v>
      </c>
      <c r="AS52" s="19">
        <v>1</v>
      </c>
      <c r="AT52" s="19">
        <v>0.88</v>
      </c>
      <c r="AU52" s="19">
        <v>0.91</v>
      </c>
      <c r="AV52" s="19">
        <v>0.93300000000000005</v>
      </c>
      <c r="AW52" s="19">
        <v>0.89500000000000002</v>
      </c>
      <c r="AX52" s="19">
        <v>1</v>
      </c>
      <c r="AY52" s="19">
        <v>1</v>
      </c>
      <c r="AZ52" s="19">
        <v>1</v>
      </c>
      <c r="BA52" s="19">
        <v>1</v>
      </c>
      <c r="BB52" s="19">
        <v>1</v>
      </c>
      <c r="BC52" s="19">
        <v>1</v>
      </c>
      <c r="BD52" s="19">
        <v>1</v>
      </c>
      <c r="BE52" s="19">
        <v>1</v>
      </c>
      <c r="BF52" s="19">
        <v>1</v>
      </c>
      <c r="BG52" s="19">
        <v>1</v>
      </c>
      <c r="BH52" s="19">
        <v>1</v>
      </c>
      <c r="BI52" s="19">
        <v>1</v>
      </c>
      <c r="BJ52" s="19">
        <v>1</v>
      </c>
      <c r="BK52" s="19">
        <v>1</v>
      </c>
      <c r="BL52" s="19">
        <v>1</v>
      </c>
      <c r="BM52" s="19">
        <v>1</v>
      </c>
      <c r="BN52" s="19">
        <v>1</v>
      </c>
      <c r="BO52" s="19">
        <v>1</v>
      </c>
      <c r="BP52" s="19">
        <v>1</v>
      </c>
      <c r="BQ52" s="19">
        <v>1</v>
      </c>
      <c r="BR52" s="19">
        <v>1</v>
      </c>
      <c r="BS52" s="19">
        <v>1</v>
      </c>
      <c r="BT52" s="19">
        <v>1</v>
      </c>
      <c r="BU52" s="19">
        <v>1</v>
      </c>
      <c r="BV52" s="19">
        <v>0.97799999999999998</v>
      </c>
      <c r="BW52" s="19">
        <v>0.88</v>
      </c>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row>
    <row r="59" spans="1:106" x14ac:dyDescent="0.25">
      <c r="B59" s="1"/>
    </row>
  </sheetData>
  <phoneticPr fontId="4" type="noConversion"/>
  <conditionalFormatting sqref="O22:T32">
    <cfRule type="colorScale" priority="6">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B2698-BB50-4C0D-A83E-41D16E22549E}">
  <dimension ref="A1"/>
  <sheetViews>
    <sheetView topLeftCell="A22" workbookViewId="0">
      <selection activeCell="K24" sqref="K24"/>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eea173c-abfe-48e3-bfde-742678808c63">
      <Terms xmlns="http://schemas.microsoft.com/office/infopath/2007/PartnerControls"/>
    </lcf76f155ced4ddcb4097134ff3c332f>
    <TaxCatchAll xmlns="27398afd-9f02-4e66-9f4c-9c25e2808e73" xsi:nil="true"/>
    <DLCPolicyLabelLock xmlns="2eea173c-abfe-48e3-bfde-742678808c63" xsi:nil="true"/>
    <DLCPolicyLabelClientValue xmlns="2eea173c-abfe-48e3-bfde-742678808c63">{_UIVersionString}</DLCPolicyLabelClientValue>
    <DLCPolicyLabelValue xmlns="2eea173c-abfe-48e3-bfde-742678808c63">0.170</DLCPolicyLabelVal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FD62874E99E2642A5CE6BCFB84FFC5F" ma:contentTypeVersion="15" ma:contentTypeDescription="Create a new document." ma:contentTypeScope="" ma:versionID="e1ea22bed1456a82b4f08e1bc768f40b">
  <xsd:schema xmlns:xsd="http://www.w3.org/2001/XMLSchema" xmlns:xs="http://www.w3.org/2001/XMLSchema" xmlns:p="http://schemas.microsoft.com/office/2006/metadata/properties" xmlns:ns1="http://schemas.microsoft.com/sharepoint/v3" xmlns:ns2="2eea173c-abfe-48e3-bfde-742678808c63" xmlns:ns3="27398afd-9f02-4e66-9f4c-9c25e2808e73" targetNamespace="http://schemas.microsoft.com/office/2006/metadata/properties" ma:root="true" ma:fieldsID="04c1d1fb4058b631583e9583d050cd9d" ns1:_="" ns2:_="" ns3:_="">
    <xsd:import namespace="http://schemas.microsoft.com/sharepoint/v3"/>
    <xsd:import namespace="2eea173c-abfe-48e3-bfde-742678808c63"/>
    <xsd:import namespace="27398afd-9f02-4e66-9f4c-9c25e2808e73"/>
    <xsd:element name="properties">
      <xsd:complexType>
        <xsd:sequence>
          <xsd:element name="documentManagement">
            <xsd:complexType>
              <xsd:all>
                <xsd:element ref="ns1:_dlc_Exempt" minOccurs="0"/>
                <xsd:element ref="ns2:DLCPolicyLabelValue" minOccurs="0"/>
                <xsd:element ref="ns2:DLCPolicyLabelClientValue" minOccurs="0"/>
                <xsd:element ref="ns2:DLCPolicyLabelLock" minOccurs="0"/>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8" nillable="true" ma:displayName="Exempt from Policy"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eea173c-abfe-48e3-bfde-742678808c63" elementFormDefault="qualified">
    <xsd:import namespace="http://schemas.microsoft.com/office/2006/documentManagement/types"/>
    <xsd:import namespace="http://schemas.microsoft.com/office/infopath/2007/PartnerControls"/>
    <xsd:element name="DLCPolicyLabelValue" ma:index="9" nillable="true" ma:displayName="Label" ma:description="Stores the current value of the label." ma:internalName="DLCPolicyLabelValue" ma:readOnly="true">
      <xsd:simpleType>
        <xsd:restriction base="dms:Note">
          <xsd:maxLength value="255"/>
        </xsd:restriction>
      </xsd:simpleType>
    </xsd:element>
    <xsd:element name="DLCPolicyLabelClientValue" ma:index="10" nillable="true" ma:displayName="Client Label Value" ma:description="Stores the last label value computed on the client." ma:hidden="true" ma:internalName="DLCPolicyLabelClientValue" ma:readOnly="false">
      <xsd:simpleType>
        <xsd:restriction base="dms:Note"/>
      </xsd:simpleType>
    </xsd:element>
    <xsd:element name="DLCPolicyLabelLock" ma:index="11" nillable="true" ma:displayName="Label Locked" ma:description="Indicates whether the label should be updated when item properties are modified." ma:hidden="true" ma:internalName="DLCPolicyLabelLock" ma:readOnly="false">
      <xsd:simpleType>
        <xsd:restriction base="dms:Text"/>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aef65ca-1191-4aee-8350-31e84247f8ee"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7398afd-9f02-4e66-9f4c-9c25e2808e73"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4793b10f-b994-4f8b-85fd-bb5348e2ac2f}" ma:internalName="TaxCatchAll" ma:showField="CatchAllData" ma:web="27398afd-9f02-4e66-9f4c-9c25e2808e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p:Policy xmlns:p="office.server.policy" id="" local="true">
  <p:Name>Document</p:Name>
  <p:Description/>
  <p:Statement/>
  <p:PolicyItems>
    <p:PolicyItem featureId="Microsoft.Office.RecordsManagement.PolicyFeatures.PolicyLabel" staticId="0x0101005FD62874E99E2642A5CE6BCFB84FFC5F|801092262" UniqueId="2c68f5fd-119f-4986-9c0e-322bac716dd7">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segment type="metadata">_UIVersionString</segment>
        </label>
      </p:CustomData>
    </p:PolicyItem>
  </p:PolicyItems>
</p:Policy>
</file>

<file path=customXml/itemProps1.xml><?xml version="1.0" encoding="utf-8"?>
<ds:datastoreItem xmlns:ds="http://schemas.openxmlformats.org/officeDocument/2006/customXml" ds:itemID="{61942647-496A-40DF-8C2C-B612F13ECA4C}">
  <ds:schemaRefs>
    <ds:schemaRef ds:uri="http://schemas.microsoft.com/sharepoint/v3/contenttype/forms"/>
  </ds:schemaRefs>
</ds:datastoreItem>
</file>

<file path=customXml/itemProps2.xml><?xml version="1.0" encoding="utf-8"?>
<ds:datastoreItem xmlns:ds="http://schemas.openxmlformats.org/officeDocument/2006/customXml" ds:itemID="{714EDE62-6922-45F2-92C5-02AB703119F3}">
  <ds:schemaRefs>
    <ds:schemaRef ds:uri="http://schemas.microsoft.com/office/2006/metadata/properties"/>
    <ds:schemaRef ds:uri="http://schemas.microsoft.com/office/infopath/2007/PartnerControls"/>
    <ds:schemaRef ds:uri="2eea173c-abfe-48e3-bfde-742678808c63"/>
    <ds:schemaRef ds:uri="27398afd-9f02-4e66-9f4c-9c25e2808e73"/>
  </ds:schemaRefs>
</ds:datastoreItem>
</file>

<file path=customXml/itemProps3.xml><?xml version="1.0" encoding="utf-8"?>
<ds:datastoreItem xmlns:ds="http://schemas.openxmlformats.org/officeDocument/2006/customXml" ds:itemID="{44168460-F626-47CE-91F6-71AECC4FEF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eea173c-abfe-48e3-bfde-742678808c63"/>
    <ds:schemaRef ds:uri="27398afd-9f02-4e66-9f4c-9c25e2808e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8706AE9-90BC-4904-A9BF-FACF0FA24B74}">
  <ds:schemaRefs>
    <ds:schemaRef ds:uri="office.server.polic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 Metrics</vt:lpstr>
      <vt:lpstr>KPI Metrics (2)</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Aidan Lowson</dc:creator>
  <cp:keywords/>
  <dc:description/>
  <cp:lastModifiedBy>Aidan Lowson</cp:lastModifiedBy>
  <cp:revision/>
  <dcterms:created xsi:type="dcterms:W3CDTF">2025-01-03T10:42:22Z</dcterms:created>
  <dcterms:modified xsi:type="dcterms:W3CDTF">2026-05-28T14:51:23Z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0x0101005FD62874E99E2642A5CE6BCFB84FFC5F</vt:lpwstr>
  </property>
  <property fmtid="{D5CDD505-2E9C-101B-9397-08002B2CF9AE}" pid="3" name="MediaServiceImageTags">
    <vt:lpwstr/>
  </property>
  <property fmtid="{D5CDD505-2E9C-101B-9397-08002B2CF9AE}" pid="4" name="WorkbookGuid">
    <vt:lpwstr>aa1393ea-f843-4386-848f-9bb91f015838</vt:lpwstr>
  </property>
</Properties>
</file>